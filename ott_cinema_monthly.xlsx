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d1c894097c761c/Masaüstü/UNIPD/2-1/BUSINESS^J ECONOMIC AND FINANCIAL DATA/Labs/BEFD_Labs/"/>
    </mc:Choice>
  </mc:AlternateContent>
  <xr:revisionPtr revIDLastSave="55" documentId="8_{10E86178-9A90-4768-AB0F-543806C97FCF}" xr6:coauthVersionLast="47" xr6:coauthVersionMax="47" xr10:uidLastSave="{9AD0DE54-F7D4-46E5-BD23-04A4D6FDDCBE}"/>
  <bookViews>
    <workbookView xWindow="-28920" yWindow="-8055" windowWidth="29040" windowHeight="15720" xr2:uid="{58156B1C-79D7-4976-AA10-6C7042AA2D11}"/>
  </bookViews>
  <sheets>
    <sheet name="Monthly" sheetId="1" r:id="rId1"/>
  </sheets>
  <definedNames>
    <definedName name="_xlnm._FilterDatabase" localSheetId="0" hidden="1">Monthly!$A$1:$E$217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7" i="1" l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79" i="1"/>
  <c r="E178" i="1"/>
  <c r="E177" i="1"/>
  <c r="E176" i="1"/>
  <c r="E175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Zeynep Tutar</author>
  </authors>
  <commentList>
    <comment ref="B1" authorId="0" shapeId="0" xr:uid="{8CBBA001-ECE1-43F4-8AAD-0B91CFA16B5F}">
      <text>
        <r>
          <rPr>
            <b/>
            <sz val="9"/>
            <color indexed="81"/>
            <rFont val="Tahoma"/>
            <charset val="1"/>
          </rPr>
          <t>Zeynep Tutar:</t>
        </r>
        <r>
          <rPr>
            <sz val="9"/>
            <color indexed="81"/>
            <rFont val="Tahoma"/>
            <charset val="1"/>
          </rPr>
          <t xml:space="preserve">
Società Italiana degli Autori ed Editori</t>
        </r>
      </text>
    </comment>
    <comment ref="C1" authorId="0" shapeId="0" xr:uid="{13AA036B-8AFD-4351-AFAA-BDE556614805}">
      <text>
        <r>
          <rPr>
            <b/>
            <sz val="9"/>
            <color indexed="81"/>
            <rFont val="Tahoma"/>
            <charset val="1"/>
          </rPr>
          <t>Zeynep Tutar:</t>
        </r>
        <r>
          <rPr>
            <sz val="9"/>
            <color indexed="81"/>
            <rFont val="Tahoma"/>
            <charset val="1"/>
          </rPr>
          <t xml:space="preserve">
Società Italiana degli Autori ed Editori</t>
        </r>
      </text>
    </comment>
    <comment ref="D1" authorId="0" shapeId="0" xr:uid="{4B16FC1A-E1FC-4A5B-887F-CE38D55293D7}">
      <text>
        <r>
          <rPr>
            <b/>
            <sz val="9"/>
            <color indexed="81"/>
            <rFont val="Tahoma"/>
            <charset val="1"/>
          </rPr>
          <t>Zeynep Tutar:</t>
        </r>
        <r>
          <rPr>
            <sz val="9"/>
            <color indexed="81"/>
            <rFont val="Tahoma"/>
            <charset val="1"/>
          </rPr>
          <t xml:space="preserve">
Società Italiana degli Autori ed Editori</t>
        </r>
      </text>
    </comment>
    <comment ref="E1" authorId="0" shapeId="0" xr:uid="{5468A612-1CAC-4780-9117-3C762E7265D4}">
      <text>
        <r>
          <rPr>
            <b/>
            <sz val="9"/>
            <color indexed="81"/>
            <rFont val="Tahoma"/>
            <charset val="1"/>
          </rPr>
          <t>Zeynep Tutar:</t>
        </r>
        <r>
          <rPr>
            <sz val="9"/>
            <color indexed="81"/>
            <rFont val="Tahoma"/>
            <charset val="1"/>
          </rPr>
          <t xml:space="preserve">
Società Italiana degli Autori ed Editori</t>
        </r>
      </text>
    </comment>
    <comment ref="F1" authorId="0" shapeId="0" xr:uid="{B2B51038-B033-4B24-8BC2-49EB057539DB}">
      <text>
        <r>
          <rPr>
            <b/>
            <sz val="9"/>
            <color indexed="81"/>
            <rFont val="Tahoma"/>
            <charset val="1"/>
          </rPr>
          <t>Zeynep Tutar:</t>
        </r>
        <r>
          <rPr>
            <sz val="9"/>
            <color indexed="81"/>
            <rFont val="Tahoma"/>
            <charset val="1"/>
          </rPr>
          <t xml:space="preserve">
google search trends:
netflix + amazon prime video + timvision + disney plus: (Italy)</t>
        </r>
      </text>
    </comment>
    <comment ref="G1" authorId="0" shapeId="0" xr:uid="{CC6927C2-B659-4C91-BA6F-14BC184B216A}">
      <text>
        <r>
          <rPr>
            <b/>
            <sz val="9"/>
            <color indexed="81"/>
            <rFont val="Tahoma"/>
            <charset val="1"/>
          </rPr>
          <t>Zeynep Tutar:</t>
        </r>
        <r>
          <rPr>
            <sz val="9"/>
            <color indexed="81"/>
            <rFont val="Tahoma"/>
            <charset val="1"/>
          </rPr>
          <t xml:space="preserve">
ISTAT
</t>
        </r>
      </text>
    </comment>
    <comment ref="H1" authorId="0" shapeId="0" xr:uid="{85561608-6BCF-4C6D-BC8B-E5143950B090}">
      <text>
        <r>
          <rPr>
            <b/>
            <sz val="9"/>
            <color indexed="81"/>
            <rFont val="Tahoma"/>
            <charset val="1"/>
          </rPr>
          <t>Zeynep Tutar:</t>
        </r>
        <r>
          <rPr>
            <sz val="9"/>
            <color indexed="81"/>
            <rFont val="Tahoma"/>
            <charset val="1"/>
          </rPr>
          <t xml:space="preserve">
ISTAT
</t>
        </r>
      </text>
    </comment>
    <comment ref="I1" authorId="0" shapeId="0" xr:uid="{DED598B1-A4D7-4EAB-81D7-7D28D61F5233}">
      <text>
        <r>
          <rPr>
            <b/>
            <sz val="9"/>
            <color indexed="81"/>
            <rFont val="Tahoma"/>
            <charset val="1"/>
          </rPr>
          <t>Zeynep Tutar:</t>
        </r>
        <r>
          <rPr>
            <sz val="9"/>
            <color indexed="81"/>
            <rFont val="Tahoma"/>
            <charset val="1"/>
          </rPr>
          <t xml:space="preserve">
https://www.epicentro.iss.it/coronavirus/sars-cov-2-dashboard</t>
        </r>
      </text>
    </comment>
  </commentList>
</comments>
</file>

<file path=xl/sharedStrings.xml><?xml version="1.0" encoding="utf-8"?>
<sst xmlns="http://schemas.openxmlformats.org/spreadsheetml/2006/main" count="225" uniqueCount="225">
  <si>
    <t>Time</t>
  </si>
  <si>
    <t xml:space="preserve">2006-01  </t>
  </si>
  <si>
    <t xml:space="preserve">2006-02  </t>
  </si>
  <si>
    <t xml:space="preserve">2006-03  </t>
  </si>
  <si>
    <t xml:space="preserve">2006-04  </t>
  </si>
  <si>
    <t xml:space="preserve">2006-05  </t>
  </si>
  <si>
    <t xml:space="preserve">2006-06  </t>
  </si>
  <si>
    <t xml:space="preserve">2006-07  </t>
  </si>
  <si>
    <t xml:space="preserve">2006-08  </t>
  </si>
  <si>
    <t xml:space="preserve">2006-09  </t>
  </si>
  <si>
    <t xml:space="preserve">2006-10  </t>
  </si>
  <si>
    <t xml:space="preserve">2006-11  </t>
  </si>
  <si>
    <t xml:space="preserve">2006-12  </t>
  </si>
  <si>
    <t xml:space="preserve">2007-01  </t>
  </si>
  <si>
    <t xml:space="preserve">2007-02  </t>
  </si>
  <si>
    <t xml:space="preserve">2007-03  </t>
  </si>
  <si>
    <t xml:space="preserve">2007-04  </t>
  </si>
  <si>
    <t xml:space="preserve">2007-05  </t>
  </si>
  <si>
    <t xml:space="preserve">2007-06  </t>
  </si>
  <si>
    <t xml:space="preserve">2007-07  </t>
  </si>
  <si>
    <t xml:space="preserve">2007-08  </t>
  </si>
  <si>
    <t xml:space="preserve">2007-09  </t>
  </si>
  <si>
    <t xml:space="preserve">2007-10  </t>
  </si>
  <si>
    <t xml:space="preserve">2007-11  </t>
  </si>
  <si>
    <t xml:space="preserve">2007-12  </t>
  </si>
  <si>
    <t xml:space="preserve">2008-01  </t>
  </si>
  <si>
    <t xml:space="preserve">2008-02  </t>
  </si>
  <si>
    <t xml:space="preserve">2008-03  </t>
  </si>
  <si>
    <t xml:space="preserve">2008-04  </t>
  </si>
  <si>
    <t xml:space="preserve">2008-05  </t>
  </si>
  <si>
    <t xml:space="preserve">2008-06  </t>
  </si>
  <si>
    <t xml:space="preserve">2008-07  </t>
  </si>
  <si>
    <t xml:space="preserve">2008-08  </t>
  </si>
  <si>
    <t xml:space="preserve">2008-09  </t>
  </si>
  <si>
    <t xml:space="preserve">2008-10  </t>
  </si>
  <si>
    <t xml:space="preserve">2008-11  </t>
  </si>
  <si>
    <t xml:space="preserve">2008-12  </t>
  </si>
  <si>
    <t xml:space="preserve">2009-01  </t>
  </si>
  <si>
    <t xml:space="preserve">2009-02  </t>
  </si>
  <si>
    <t xml:space="preserve">2009-03  </t>
  </si>
  <si>
    <t xml:space="preserve">2009-04  </t>
  </si>
  <si>
    <t xml:space="preserve">2009-05  </t>
  </si>
  <si>
    <t xml:space="preserve">2009-06  </t>
  </si>
  <si>
    <t xml:space="preserve">2009-07  </t>
  </si>
  <si>
    <t xml:space="preserve">2009-08  </t>
  </si>
  <si>
    <t xml:space="preserve">2009-09  </t>
  </si>
  <si>
    <t xml:space="preserve">2009-10  </t>
  </si>
  <si>
    <t xml:space="preserve">2009-11  </t>
  </si>
  <si>
    <t xml:space="preserve">2009-12  </t>
  </si>
  <si>
    <t xml:space="preserve">2010-01  </t>
  </si>
  <si>
    <t xml:space="preserve">2010-02  </t>
  </si>
  <si>
    <t xml:space="preserve">2010-03  </t>
  </si>
  <si>
    <t xml:space="preserve">2010-04  </t>
  </si>
  <si>
    <t xml:space="preserve">2010-05  </t>
  </si>
  <si>
    <t xml:space="preserve">2010-06  </t>
  </si>
  <si>
    <t xml:space="preserve">2010-07  </t>
  </si>
  <si>
    <t xml:space="preserve">2010-08  </t>
  </si>
  <si>
    <t xml:space="preserve">2010-09  </t>
  </si>
  <si>
    <t xml:space="preserve">2010-10  </t>
  </si>
  <si>
    <t xml:space="preserve">2010-11  </t>
  </si>
  <si>
    <t xml:space="preserve">2010-12  </t>
  </si>
  <si>
    <t xml:space="preserve">2011-01  </t>
  </si>
  <si>
    <t xml:space="preserve">2011-02  </t>
  </si>
  <si>
    <t xml:space="preserve">2011-03  </t>
  </si>
  <si>
    <t xml:space="preserve">2011-04  </t>
  </si>
  <si>
    <t xml:space="preserve">2011-05  </t>
  </si>
  <si>
    <t xml:space="preserve">2011-06  </t>
  </si>
  <si>
    <t xml:space="preserve">2011-07  </t>
  </si>
  <si>
    <t xml:space="preserve">2011-08  </t>
  </si>
  <si>
    <t xml:space="preserve">2011-09  </t>
  </si>
  <si>
    <t xml:space="preserve">2011-10  </t>
  </si>
  <si>
    <t xml:space="preserve">2011-11  </t>
  </si>
  <si>
    <t xml:space="preserve">2011-12  </t>
  </si>
  <si>
    <t xml:space="preserve">2012-01  </t>
  </si>
  <si>
    <t xml:space="preserve">2012-02  </t>
  </si>
  <si>
    <t xml:space="preserve">2012-03  </t>
  </si>
  <si>
    <t xml:space="preserve">2012-04  </t>
  </si>
  <si>
    <t xml:space="preserve">2012-05  </t>
  </si>
  <si>
    <t xml:space="preserve">2012-06  </t>
  </si>
  <si>
    <t xml:space="preserve">2012-07  </t>
  </si>
  <si>
    <t xml:space="preserve">2012-08  </t>
  </si>
  <si>
    <t xml:space="preserve">2012-09  </t>
  </si>
  <si>
    <t xml:space="preserve">2012-10  </t>
  </si>
  <si>
    <t xml:space="preserve">2012-11  </t>
  </si>
  <si>
    <t xml:space="preserve">2012-12  </t>
  </si>
  <si>
    <t xml:space="preserve">2013-01  </t>
  </si>
  <si>
    <t xml:space="preserve">2013-02  </t>
  </si>
  <si>
    <t xml:space="preserve">2013-03  </t>
  </si>
  <si>
    <t xml:space="preserve">2013-04  </t>
  </si>
  <si>
    <t xml:space="preserve">2013-05  </t>
  </si>
  <si>
    <t xml:space="preserve">2013-06  </t>
  </si>
  <si>
    <t xml:space="preserve">2013-07  </t>
  </si>
  <si>
    <t xml:space="preserve">2013-08  </t>
  </si>
  <si>
    <t xml:space="preserve">2013-09  </t>
  </si>
  <si>
    <t xml:space="preserve">2013-10  </t>
  </si>
  <si>
    <t xml:space="preserve">2013-11  </t>
  </si>
  <si>
    <t xml:space="preserve">2013-12  </t>
  </si>
  <si>
    <t xml:space="preserve">2014-01  </t>
  </si>
  <si>
    <t xml:space="preserve">2014-02  </t>
  </si>
  <si>
    <t xml:space="preserve">2014-03  </t>
  </si>
  <si>
    <t xml:space="preserve">2014-04  </t>
  </si>
  <si>
    <t xml:space="preserve">2014-05  </t>
  </si>
  <si>
    <t xml:space="preserve">2014-06  </t>
  </si>
  <si>
    <t xml:space="preserve">2014-07  </t>
  </si>
  <si>
    <t xml:space="preserve">2014-08  </t>
  </si>
  <si>
    <t xml:space="preserve">2014-09  </t>
  </si>
  <si>
    <t xml:space="preserve">2014-10  </t>
  </si>
  <si>
    <t xml:space="preserve">2014-11  </t>
  </si>
  <si>
    <t xml:space="preserve">2014-12  </t>
  </si>
  <si>
    <t xml:space="preserve">2015-01  </t>
  </si>
  <si>
    <t xml:space="preserve">2015-02  </t>
  </si>
  <si>
    <t xml:space="preserve">2015-03  </t>
  </si>
  <si>
    <t xml:space="preserve">2015-04  </t>
  </si>
  <si>
    <t xml:space="preserve">2015-05  </t>
  </si>
  <si>
    <t xml:space="preserve">2015-06  </t>
  </si>
  <si>
    <t xml:space="preserve">2015-07  </t>
  </si>
  <si>
    <t xml:space="preserve">2015-08  </t>
  </si>
  <si>
    <t xml:space="preserve">2015-09  </t>
  </si>
  <si>
    <t xml:space="preserve">2015-10  </t>
  </si>
  <si>
    <t xml:space="preserve">2015-11  </t>
  </si>
  <si>
    <t xml:space="preserve">2015-12  </t>
  </si>
  <si>
    <t xml:space="preserve">2016-01  </t>
  </si>
  <si>
    <t xml:space="preserve">2016-02  </t>
  </si>
  <si>
    <t xml:space="preserve">2016-03  </t>
  </si>
  <si>
    <t xml:space="preserve">2016-04  </t>
  </si>
  <si>
    <t xml:space="preserve">2016-05  </t>
  </si>
  <si>
    <t xml:space="preserve">2016-06  </t>
  </si>
  <si>
    <t xml:space="preserve">2016-07  </t>
  </si>
  <si>
    <t xml:space="preserve">2016-08  </t>
  </si>
  <si>
    <t xml:space="preserve">2016-09  </t>
  </si>
  <si>
    <t xml:space="preserve">2016-10  </t>
  </si>
  <si>
    <t xml:space="preserve">2016-11  </t>
  </si>
  <si>
    <t xml:space="preserve">2016-12  </t>
  </si>
  <si>
    <t xml:space="preserve">2017-01  </t>
  </si>
  <si>
    <t xml:space="preserve">2017-02  </t>
  </si>
  <si>
    <t xml:space="preserve">2017-03  </t>
  </si>
  <si>
    <t xml:space="preserve">2017-04  </t>
  </si>
  <si>
    <t xml:space="preserve">2017-05  </t>
  </si>
  <si>
    <t xml:space="preserve">2017-06  </t>
  </si>
  <si>
    <t xml:space="preserve">2017-07  </t>
  </si>
  <si>
    <t xml:space="preserve">2017-08  </t>
  </si>
  <si>
    <t xml:space="preserve">2017-09  </t>
  </si>
  <si>
    <t xml:space="preserve">2017-10  </t>
  </si>
  <si>
    <t xml:space="preserve">2017-11  </t>
  </si>
  <si>
    <t xml:space="preserve">2017-12  </t>
  </si>
  <si>
    <t xml:space="preserve">2018-01  </t>
  </si>
  <si>
    <t xml:space="preserve">2018-02  </t>
  </si>
  <si>
    <t xml:space="preserve">2018-03  </t>
  </si>
  <si>
    <t xml:space="preserve">2018-04  </t>
  </si>
  <si>
    <t xml:space="preserve">2018-05  </t>
  </si>
  <si>
    <t xml:space="preserve">2018-06  </t>
  </si>
  <si>
    <t xml:space="preserve">2018-07  </t>
  </si>
  <si>
    <t xml:space="preserve">2018-08  </t>
  </si>
  <si>
    <t xml:space="preserve">2018-09  </t>
  </si>
  <si>
    <t xml:space="preserve">2018-10  </t>
  </si>
  <si>
    <t xml:space="preserve">2018-11  </t>
  </si>
  <si>
    <t xml:space="preserve">2018-12  </t>
  </si>
  <si>
    <t xml:space="preserve">2019-01  </t>
  </si>
  <si>
    <t xml:space="preserve">2019-02  </t>
  </si>
  <si>
    <t xml:space="preserve">2019-03  </t>
  </si>
  <si>
    <t xml:space="preserve">2019-04  </t>
  </si>
  <si>
    <t xml:space="preserve">2019-05  </t>
  </si>
  <si>
    <t xml:space="preserve">2019-06  </t>
  </si>
  <si>
    <t xml:space="preserve">2019-07  </t>
  </si>
  <si>
    <t xml:space="preserve">2019-08  </t>
  </si>
  <si>
    <t xml:space="preserve">2019-09  </t>
  </si>
  <si>
    <t xml:space="preserve">2019-10  </t>
  </si>
  <si>
    <t xml:space="preserve">2019-11  </t>
  </si>
  <si>
    <t xml:space="preserve">2019-12  </t>
  </si>
  <si>
    <t xml:space="preserve">2020-01  </t>
  </si>
  <si>
    <t xml:space="preserve">2020-02  </t>
  </si>
  <si>
    <t xml:space="preserve">2020-03  </t>
  </si>
  <si>
    <t xml:space="preserve">2020-04  </t>
  </si>
  <si>
    <t xml:space="preserve">2020-05  </t>
  </si>
  <si>
    <t xml:space="preserve">2020-06  </t>
  </si>
  <si>
    <t xml:space="preserve">2020-07  </t>
  </si>
  <si>
    <t xml:space="preserve">2020-08  </t>
  </si>
  <si>
    <t xml:space="preserve">2020-09  </t>
  </si>
  <si>
    <t xml:space="preserve">2020-10  </t>
  </si>
  <si>
    <t xml:space="preserve">2020-11  </t>
  </si>
  <si>
    <t xml:space="preserve">2020-12  </t>
  </si>
  <si>
    <t xml:space="preserve">2021-01  </t>
  </si>
  <si>
    <t xml:space="preserve">2021-02  </t>
  </si>
  <si>
    <t xml:space="preserve">2021-03  </t>
  </si>
  <si>
    <t xml:space="preserve">2021-04  </t>
  </si>
  <si>
    <t xml:space="preserve">2021-05  </t>
  </si>
  <si>
    <t xml:space="preserve">2021-06  </t>
  </si>
  <si>
    <t xml:space="preserve">2021-07  </t>
  </si>
  <si>
    <t xml:space="preserve">2021-08  </t>
  </si>
  <si>
    <t xml:space="preserve">2021-09  </t>
  </si>
  <si>
    <t xml:space="preserve">2021-10  </t>
  </si>
  <si>
    <t xml:space="preserve">2021-11  </t>
  </si>
  <si>
    <t xml:space="preserve">2021-12  </t>
  </si>
  <si>
    <t xml:space="preserve">2022-01  </t>
  </si>
  <si>
    <t xml:space="preserve">2022-02  </t>
  </si>
  <si>
    <t xml:space="preserve">2022-03  </t>
  </si>
  <si>
    <t xml:space="preserve">2022-04  </t>
  </si>
  <si>
    <t xml:space="preserve">2022-05  </t>
  </si>
  <si>
    <t xml:space="preserve">2022-06  </t>
  </si>
  <si>
    <t xml:space="preserve">2022-07  </t>
  </si>
  <si>
    <t xml:space="preserve">2022-08  </t>
  </si>
  <si>
    <t xml:space="preserve">2022-09  </t>
  </si>
  <si>
    <t xml:space="preserve">2022-10  </t>
  </si>
  <si>
    <t xml:space="preserve">2022-11  </t>
  </si>
  <si>
    <t xml:space="preserve">2022-12  </t>
  </si>
  <si>
    <t xml:space="preserve">2023-01  </t>
  </si>
  <si>
    <t xml:space="preserve">2023-02  </t>
  </si>
  <si>
    <t xml:space="preserve">2023-03  </t>
  </si>
  <si>
    <t xml:space="preserve">2023-04  </t>
  </si>
  <si>
    <t xml:space="preserve">2023-05  </t>
  </si>
  <si>
    <t xml:space="preserve">2023-06  </t>
  </si>
  <si>
    <t xml:space="preserve">2023-07  </t>
  </si>
  <si>
    <t xml:space="preserve">2023-08  </t>
  </si>
  <si>
    <t xml:space="preserve">2023-09  </t>
  </si>
  <si>
    <t xml:space="preserve">2023-10  </t>
  </si>
  <si>
    <t xml:space="preserve">2023-11  </t>
  </si>
  <si>
    <t xml:space="preserve">2023-12  </t>
  </si>
  <si>
    <t>cpi_all</t>
  </si>
  <si>
    <t>cpi_culture</t>
  </si>
  <si>
    <t>covid_cases</t>
  </si>
  <si>
    <t>cinema_admissions</t>
  </si>
  <si>
    <t>cinema_screenings</t>
  </si>
  <si>
    <t>cinema_audience_spending</t>
  </si>
  <si>
    <t>cinema_avg_spending_pp</t>
  </si>
  <si>
    <t>gooogle_trend_ott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</si>
</sst>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??_);_(@_)"/>
    <numFmt numFmtId="165" formatCode="_-[$€-2]\ * #,##0.00_-;\-[$€-2]\ * #,##0.00_-;_-[$€-2]\ 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2">
    <xf numFmtId="0" fontId="0" fillId="0" borderId="0" xfId="0"/>
    <xf numFmtId="0" fontId="3" fillId="2" borderId="1" xfId="2" applyFont="1" applyFill="1" applyBorder="1" applyAlignment="1">
      <alignment horizontal="left" vertical="center" wrapText="1"/>
    </xf>
    <xf numFmtId="0" fontId="3" fillId="2" borderId="1" xfId="2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right" vertical="center"/>
    </xf>
    <xf numFmtId="43" fontId="4" fillId="0" borderId="1" xfId="1" applyFont="1" applyFill="1" applyBorder="1" applyAlignment="1">
      <alignment horizontal="right" vertical="center"/>
    </xf>
    <xf numFmtId="165" fontId="4" fillId="0" borderId="1" xfId="1" applyNumberFormat="1" applyFont="1" applyFill="1" applyBorder="1" applyAlignment="1">
      <alignment horizontal="right" vertical="center"/>
    </xf>
    <xf numFmtId="2" fontId="4" fillId="0" borderId="1" xfId="1" applyNumberFormat="1" applyFont="1" applyFill="1" applyBorder="1" applyAlignment="1">
      <alignment horizontal="right" vertical="center"/>
    </xf>
    <xf numFmtId="16" fontId="4" fillId="3" borderId="1" xfId="0" applyNumberFormat="1" applyFont="1" applyFill="1" applyBorder="1" applyAlignment="1">
      <alignment horizontal="left" vertical="center"/>
    </xf>
    <xf numFmtId="16" fontId="4" fillId="3" borderId="2" xfId="0" applyNumberFormat="1" applyFont="1" applyFill="1" applyBorder="1" applyAlignment="1">
      <alignment horizontal="left" vertical="center"/>
    </xf>
    <xf numFmtId="1" fontId="4" fillId="0" borderId="1" xfId="1" applyNumberFormat="1" applyFont="1" applyFill="1" applyBorder="1" applyAlignment="1">
      <alignment horizontal="right" vertical="center"/>
    </xf>
    <xf numFmtId="1" fontId="3" fillId="2" borderId="1" xfId="2" applyNumberFormat="1" applyFont="1" applyFill="1" applyBorder="1" applyAlignment="1">
      <alignment horizontal="center" vertical="center" wrapText="1"/>
    </xf>
    <xf numFmtId="1" fontId="0" fillId="0" borderId="0" xfId="0" applyNumberFormat="1"/>
  </cellXfs>
  <cellStyles count="3">
    <cellStyle name="Comma" xfId="1" builtinId="3"/>
    <cellStyle name="Normal" xfId="0" builtinId="0"/>
    <cellStyle name="Normale 2" xfId="2" xr:uid="{EC2F2D82-9CC5-47B4-BE58-3A5729DC73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7B622-EAAD-4DD6-8EF5-E31B911C794D}">
  <sheetPr>
    <tabColor theme="5"/>
  </sheetPr>
  <dimension ref="A1:I217"/>
  <sheetViews>
    <sheetView tabSelected="1" zoomScaleNormal="100" workbookViewId="0">
      <pane ySplit="1" topLeftCell="A2" activePane="bottomLeft" state="frozen"/>
      <selection pane="bottomLeft" activeCell="M15" sqref="M15"/>
    </sheetView>
  </sheetViews>
  <sheetFormatPr defaultRowHeight="14.4" x14ac:dyDescent="0.3"/>
  <cols>
    <col min="1" max="1" width="9" customWidth="1"/>
    <col min="2" max="4" width="14.33203125" customWidth="1"/>
    <col min="5" max="5" width="15" customWidth="1"/>
    <col min="6" max="6" width="15" style="11" customWidth="1"/>
    <col min="7" max="7" width="14.33203125" customWidth="1"/>
    <col min="8" max="9" width="15.44140625" customWidth="1"/>
  </cols>
  <sheetData>
    <row r="1" spans="1:9" ht="51" customHeight="1" x14ac:dyDescent="0.3">
      <c r="A1" s="1" t="s">
        <v>0</v>
      </c>
      <c r="B1" s="2" t="s">
        <v>220</v>
      </c>
      <c r="C1" s="2" t="s">
        <v>221</v>
      </c>
      <c r="D1" s="2" t="s">
        <v>222</v>
      </c>
      <c r="E1" s="2" t="s">
        <v>223</v>
      </c>
      <c r="F1" s="10" t="s">
        <v>224</v>
      </c>
      <c r="G1" s="2" t="s">
        <v>217</v>
      </c>
      <c r="H1" s="2" t="s">
        <v>218</v>
      </c>
      <c r="I1" s="2" t="s">
        <v>219</v>
      </c>
    </row>
    <row r="2" spans="1:9" x14ac:dyDescent="0.3">
      <c r="A2" s="7" t="s">
        <v>1</v>
      </c>
      <c r="B2" s="3">
        <v>13700979</v>
      </c>
      <c r="C2" s="3">
        <v>120005</v>
      </c>
      <c r="D2" s="4">
        <v>89522221.229999974</v>
      </c>
      <c r="E2" s="5">
        <f t="shared" ref="E2:E33" si="0">D2/B2</f>
        <v>6.5340017841060831</v>
      </c>
      <c r="F2" s="9">
        <v>0</v>
      </c>
      <c r="G2" s="6">
        <v>0.2</v>
      </c>
      <c r="H2" s="6">
        <v>0.6</v>
      </c>
      <c r="I2" s="9">
        <v>0</v>
      </c>
    </row>
    <row r="3" spans="1:9" x14ac:dyDescent="0.3">
      <c r="A3" s="7" t="s">
        <v>2</v>
      </c>
      <c r="B3" s="3">
        <v>8207270</v>
      </c>
      <c r="C3" s="3">
        <v>102136</v>
      </c>
      <c r="D3" s="4">
        <v>50597281.520000026</v>
      </c>
      <c r="E3" s="5">
        <f t="shared" si="0"/>
        <v>6.1649344447057333</v>
      </c>
      <c r="F3" s="9">
        <v>0</v>
      </c>
      <c r="G3" s="6">
        <v>0.2</v>
      </c>
      <c r="H3" s="6">
        <v>-0.2</v>
      </c>
      <c r="I3" s="9">
        <v>0</v>
      </c>
    </row>
    <row r="4" spans="1:9" x14ac:dyDescent="0.3">
      <c r="A4" s="7" t="s">
        <v>3</v>
      </c>
      <c r="B4" s="3">
        <v>10102967</v>
      </c>
      <c r="C4" s="3">
        <v>109564</v>
      </c>
      <c r="D4" s="4">
        <v>61407884.340000018</v>
      </c>
      <c r="E4" s="5">
        <f t="shared" si="0"/>
        <v>6.0782030011579788</v>
      </c>
      <c r="F4" s="9">
        <v>0</v>
      </c>
      <c r="G4" s="6">
        <v>0.2</v>
      </c>
      <c r="H4" s="6">
        <v>0.2</v>
      </c>
      <c r="I4" s="9">
        <v>0</v>
      </c>
    </row>
    <row r="5" spans="1:9" x14ac:dyDescent="0.3">
      <c r="A5" s="7" t="s">
        <v>4</v>
      </c>
      <c r="B5" s="3">
        <v>10872037</v>
      </c>
      <c r="C5" s="3">
        <v>110636</v>
      </c>
      <c r="D5" s="4">
        <v>68866213.009999976</v>
      </c>
      <c r="E5" s="5">
        <f t="shared" si="0"/>
        <v>6.3342511628685569</v>
      </c>
      <c r="F5" s="9">
        <v>0</v>
      </c>
      <c r="G5" s="6">
        <v>0.3</v>
      </c>
      <c r="H5" s="6">
        <v>-0.2</v>
      </c>
      <c r="I5" s="9">
        <v>0</v>
      </c>
    </row>
    <row r="6" spans="1:9" x14ac:dyDescent="0.3">
      <c r="A6" s="7" t="s">
        <v>5</v>
      </c>
      <c r="B6" s="3">
        <v>9408449</v>
      </c>
      <c r="C6" s="3">
        <v>103219</v>
      </c>
      <c r="D6" s="4">
        <v>58029889.269999981</v>
      </c>
      <c r="E6" s="5">
        <f t="shared" si="0"/>
        <v>6.167848629460603</v>
      </c>
      <c r="F6" s="9">
        <v>0</v>
      </c>
      <c r="G6" s="6">
        <v>0.2</v>
      </c>
      <c r="H6" s="6">
        <v>-0.1</v>
      </c>
      <c r="I6" s="9">
        <v>0</v>
      </c>
    </row>
    <row r="7" spans="1:9" x14ac:dyDescent="0.3">
      <c r="A7" s="7" t="s">
        <v>6</v>
      </c>
      <c r="B7" s="3">
        <v>5476150</v>
      </c>
      <c r="C7" s="3">
        <v>89198</v>
      </c>
      <c r="D7" s="4">
        <v>33885073.999999985</v>
      </c>
      <c r="E7" s="5">
        <f t="shared" si="0"/>
        <v>6.1877549007970902</v>
      </c>
      <c r="F7" s="9">
        <v>0</v>
      </c>
      <c r="G7" s="6">
        <v>0.2</v>
      </c>
      <c r="H7" s="6">
        <v>0.1</v>
      </c>
      <c r="I7" s="9">
        <v>0</v>
      </c>
    </row>
    <row r="8" spans="1:9" x14ac:dyDescent="0.3">
      <c r="A8" s="7" t="s">
        <v>7</v>
      </c>
      <c r="B8" s="3">
        <v>3834811</v>
      </c>
      <c r="C8" s="3">
        <v>73461</v>
      </c>
      <c r="D8" s="4">
        <v>29924860.810000021</v>
      </c>
      <c r="E8" s="5">
        <f t="shared" si="0"/>
        <v>7.8034773578150318</v>
      </c>
      <c r="F8" s="9">
        <v>0</v>
      </c>
      <c r="G8" s="6">
        <v>0.4</v>
      </c>
      <c r="H8" s="6">
        <v>0.4</v>
      </c>
      <c r="I8" s="9">
        <v>0</v>
      </c>
    </row>
    <row r="9" spans="1:9" x14ac:dyDescent="0.3">
      <c r="A9" s="7" t="s">
        <v>8</v>
      </c>
      <c r="B9" s="3">
        <v>5168575</v>
      </c>
      <c r="C9" s="3">
        <v>71798</v>
      </c>
      <c r="D9" s="4">
        <v>30596580.200000003</v>
      </c>
      <c r="E9" s="5">
        <f t="shared" si="0"/>
        <v>5.9197322666305512</v>
      </c>
      <c r="F9" s="9">
        <v>0</v>
      </c>
      <c r="G9" s="6">
        <v>0.2</v>
      </c>
      <c r="H9" s="6">
        <v>0.7</v>
      </c>
      <c r="I9" s="9">
        <v>0</v>
      </c>
    </row>
    <row r="10" spans="1:9" x14ac:dyDescent="0.3">
      <c r="A10" s="7" t="s">
        <v>9</v>
      </c>
      <c r="B10" s="3">
        <v>8668137</v>
      </c>
      <c r="C10" s="3">
        <v>100994</v>
      </c>
      <c r="D10" s="4">
        <v>55416704.380000018</v>
      </c>
      <c r="E10" s="5">
        <f t="shared" si="0"/>
        <v>6.3931504981981728</v>
      </c>
      <c r="F10" s="9">
        <v>0</v>
      </c>
      <c r="G10" s="6">
        <v>-0.1</v>
      </c>
      <c r="H10" s="6">
        <v>0.2</v>
      </c>
      <c r="I10" s="9">
        <v>0</v>
      </c>
    </row>
    <row r="11" spans="1:9" x14ac:dyDescent="0.3">
      <c r="A11" s="7" t="s">
        <v>10</v>
      </c>
      <c r="B11" s="3">
        <v>8820714</v>
      </c>
      <c r="C11" s="3">
        <v>108355</v>
      </c>
      <c r="D11" s="4">
        <v>63771986.730000012</v>
      </c>
      <c r="E11" s="5">
        <f t="shared" si="0"/>
        <v>7.229798713573528</v>
      </c>
      <c r="F11" s="9">
        <v>0</v>
      </c>
      <c r="G11" s="6">
        <v>-0.2</v>
      </c>
      <c r="H11" s="6">
        <v>-0.6</v>
      </c>
      <c r="I11" s="9">
        <v>0</v>
      </c>
    </row>
    <row r="12" spans="1:9" x14ac:dyDescent="0.3">
      <c r="A12" s="7" t="s">
        <v>11</v>
      </c>
      <c r="B12" s="3">
        <v>8613949</v>
      </c>
      <c r="C12" s="3">
        <v>110056</v>
      </c>
      <c r="D12" s="4">
        <v>51044124.989999987</v>
      </c>
      <c r="E12" s="5">
        <f t="shared" si="0"/>
        <v>5.9257519390932067</v>
      </c>
      <c r="F12" s="9">
        <v>0</v>
      </c>
      <c r="G12" s="6">
        <v>0.2</v>
      </c>
      <c r="H12" s="6">
        <v>0</v>
      </c>
      <c r="I12" s="9">
        <v>0</v>
      </c>
    </row>
    <row r="13" spans="1:9" x14ac:dyDescent="0.3">
      <c r="A13" s="7" t="s">
        <v>12</v>
      </c>
      <c r="B13" s="3">
        <v>13326073</v>
      </c>
      <c r="C13" s="3">
        <v>120807</v>
      </c>
      <c r="D13" s="4">
        <v>85749847.899999991</v>
      </c>
      <c r="E13" s="5">
        <f t="shared" si="0"/>
        <v>6.434742470643827</v>
      </c>
      <c r="F13" s="9">
        <v>0</v>
      </c>
      <c r="G13" s="6">
        <v>0</v>
      </c>
      <c r="H13" s="6">
        <v>0.4</v>
      </c>
      <c r="I13" s="9">
        <v>0</v>
      </c>
    </row>
    <row r="14" spans="1:9" x14ac:dyDescent="0.3">
      <c r="A14" s="7" t="s">
        <v>13</v>
      </c>
      <c r="B14" s="3">
        <v>15078625</v>
      </c>
      <c r="C14" s="3">
        <v>119313</v>
      </c>
      <c r="D14" s="4">
        <v>99110338.48999998</v>
      </c>
      <c r="E14" s="5">
        <f t="shared" si="0"/>
        <v>6.5729029331255324</v>
      </c>
      <c r="F14" s="9">
        <v>0</v>
      </c>
      <c r="G14" s="6">
        <v>0.1</v>
      </c>
      <c r="H14" s="6">
        <v>-0.1</v>
      </c>
      <c r="I14" s="9">
        <v>0</v>
      </c>
    </row>
    <row r="15" spans="1:9" x14ac:dyDescent="0.3">
      <c r="A15" s="7" t="s">
        <v>14</v>
      </c>
      <c r="B15" s="3">
        <v>11285765</v>
      </c>
      <c r="C15" s="3">
        <v>104465</v>
      </c>
      <c r="D15" s="4">
        <v>71020941.900000006</v>
      </c>
      <c r="E15" s="5">
        <f t="shared" si="0"/>
        <v>6.2929665733780569</v>
      </c>
      <c r="F15" s="9">
        <v>0</v>
      </c>
      <c r="G15" s="6">
        <v>0.3</v>
      </c>
      <c r="H15" s="6">
        <v>0.4</v>
      </c>
      <c r="I15" s="9">
        <v>0</v>
      </c>
    </row>
    <row r="16" spans="1:9" x14ac:dyDescent="0.3">
      <c r="A16" s="7" t="s">
        <v>15</v>
      </c>
      <c r="B16" s="3">
        <v>11837709</v>
      </c>
      <c r="C16" s="3">
        <v>116700</v>
      </c>
      <c r="D16" s="4">
        <v>73069679.970000029</v>
      </c>
      <c r="E16" s="5">
        <f t="shared" si="0"/>
        <v>6.1726200542689496</v>
      </c>
      <c r="F16" s="9">
        <v>0</v>
      </c>
      <c r="G16" s="6">
        <v>0.1</v>
      </c>
      <c r="H16" s="6">
        <v>0</v>
      </c>
      <c r="I16" s="9">
        <v>0</v>
      </c>
    </row>
    <row r="17" spans="1:9" x14ac:dyDescent="0.3">
      <c r="A17" s="7" t="s">
        <v>16</v>
      </c>
      <c r="B17" s="3">
        <v>8457407</v>
      </c>
      <c r="C17" s="3">
        <v>110105</v>
      </c>
      <c r="D17" s="4">
        <v>52846416.480000004</v>
      </c>
      <c r="E17" s="5">
        <f t="shared" si="0"/>
        <v>6.2485365171618206</v>
      </c>
      <c r="F17" s="9">
        <v>0</v>
      </c>
      <c r="G17" s="6">
        <v>0.2</v>
      </c>
      <c r="H17" s="6">
        <v>-0.3</v>
      </c>
      <c r="I17" s="9">
        <v>0</v>
      </c>
    </row>
    <row r="18" spans="1:9" x14ac:dyDescent="0.3">
      <c r="A18" s="7" t="s">
        <v>17</v>
      </c>
      <c r="B18" s="3">
        <v>8426806</v>
      </c>
      <c r="C18" s="3">
        <v>103525</v>
      </c>
      <c r="D18" s="4">
        <v>53166862.120000005</v>
      </c>
      <c r="E18" s="5">
        <f t="shared" si="0"/>
        <v>6.3092543153360836</v>
      </c>
      <c r="F18" s="9">
        <v>0</v>
      </c>
      <c r="G18" s="6">
        <v>0.3</v>
      </c>
      <c r="H18" s="6">
        <v>-0.3</v>
      </c>
      <c r="I18" s="9">
        <v>0</v>
      </c>
    </row>
    <row r="19" spans="1:9" x14ac:dyDescent="0.3">
      <c r="A19" s="7" t="s">
        <v>18</v>
      </c>
      <c r="B19" s="3">
        <v>5981332</v>
      </c>
      <c r="C19" s="3">
        <v>93209</v>
      </c>
      <c r="D19" s="4">
        <v>38550686.800000034</v>
      </c>
      <c r="E19" s="5">
        <f t="shared" si="0"/>
        <v>6.4451675312455547</v>
      </c>
      <c r="F19" s="9">
        <v>0</v>
      </c>
      <c r="G19" s="6">
        <v>0.2</v>
      </c>
      <c r="H19" s="6">
        <v>0.2</v>
      </c>
      <c r="I19" s="9">
        <v>0</v>
      </c>
    </row>
    <row r="20" spans="1:9" x14ac:dyDescent="0.3">
      <c r="A20" s="7" t="s">
        <v>19</v>
      </c>
      <c r="B20" s="3">
        <v>6411707</v>
      </c>
      <c r="C20" s="3">
        <v>91989</v>
      </c>
      <c r="D20" s="4">
        <v>40780473.920000009</v>
      </c>
      <c r="E20" s="5">
        <f t="shared" si="0"/>
        <v>6.3603146431987625</v>
      </c>
      <c r="F20" s="9">
        <v>0</v>
      </c>
      <c r="G20" s="6">
        <v>0.2</v>
      </c>
      <c r="H20" s="6">
        <v>0.3</v>
      </c>
      <c r="I20" s="9">
        <v>0</v>
      </c>
    </row>
    <row r="21" spans="1:9" x14ac:dyDescent="0.3">
      <c r="A21" s="7" t="s">
        <v>20</v>
      </c>
      <c r="B21" s="3">
        <v>4569184</v>
      </c>
      <c r="C21" s="3">
        <v>78370</v>
      </c>
      <c r="D21" s="4">
        <v>27213943.699999992</v>
      </c>
      <c r="E21" s="5">
        <f t="shared" si="0"/>
        <v>5.9559745678878313</v>
      </c>
      <c r="F21" s="9">
        <v>0</v>
      </c>
      <c r="G21" s="6">
        <v>0.2</v>
      </c>
      <c r="H21" s="6">
        <v>0.7</v>
      </c>
      <c r="I21" s="9">
        <v>0</v>
      </c>
    </row>
    <row r="22" spans="1:9" x14ac:dyDescent="0.3">
      <c r="A22" s="7" t="s">
        <v>21</v>
      </c>
      <c r="B22" s="3">
        <v>9773299</v>
      </c>
      <c r="C22" s="3">
        <v>99174</v>
      </c>
      <c r="D22" s="4">
        <v>62128221.110000014</v>
      </c>
      <c r="E22" s="5">
        <f t="shared" si="0"/>
        <v>6.356934450690602</v>
      </c>
      <c r="F22" s="9">
        <v>0</v>
      </c>
      <c r="G22" s="6">
        <v>0</v>
      </c>
      <c r="H22" s="6">
        <v>-0.4</v>
      </c>
      <c r="I22" s="9">
        <v>0</v>
      </c>
    </row>
    <row r="23" spans="1:9" x14ac:dyDescent="0.3">
      <c r="A23" s="7" t="s">
        <v>22</v>
      </c>
      <c r="B23" s="3">
        <v>8953216</v>
      </c>
      <c r="C23" s="3">
        <v>110689</v>
      </c>
      <c r="D23" s="4">
        <v>57339880.780000024</v>
      </c>
      <c r="E23" s="5">
        <f t="shared" si="0"/>
        <v>6.404389303240313</v>
      </c>
      <c r="F23" s="9">
        <v>0</v>
      </c>
      <c r="G23" s="6">
        <v>0.4</v>
      </c>
      <c r="H23" s="6">
        <v>-0.1</v>
      </c>
      <c r="I23" s="9">
        <v>0</v>
      </c>
    </row>
    <row r="24" spans="1:9" x14ac:dyDescent="0.3">
      <c r="A24" s="7" t="s">
        <v>23</v>
      </c>
      <c r="B24" s="3">
        <v>11106192</v>
      </c>
      <c r="C24" s="3">
        <v>111969</v>
      </c>
      <c r="D24" s="4">
        <v>67803846.450000003</v>
      </c>
      <c r="E24" s="5">
        <f t="shared" si="0"/>
        <v>6.1050490077967323</v>
      </c>
      <c r="F24" s="9">
        <v>0</v>
      </c>
      <c r="G24" s="6">
        <v>0.4</v>
      </c>
      <c r="H24" s="6">
        <v>0.1</v>
      </c>
      <c r="I24" s="9">
        <v>0</v>
      </c>
    </row>
    <row r="25" spans="1:9" x14ac:dyDescent="0.3">
      <c r="A25" s="7" t="s">
        <v>24</v>
      </c>
      <c r="B25" s="3">
        <v>15491188</v>
      </c>
      <c r="C25" s="3">
        <v>126574</v>
      </c>
      <c r="D25" s="4">
        <v>100330988.49999997</v>
      </c>
      <c r="E25" s="5">
        <f t="shared" si="0"/>
        <v>6.4766490794637548</v>
      </c>
      <c r="F25" s="9">
        <v>0</v>
      </c>
      <c r="G25" s="6">
        <v>0.3</v>
      </c>
      <c r="H25" s="6">
        <v>0.4</v>
      </c>
      <c r="I25" s="9">
        <v>0</v>
      </c>
    </row>
    <row r="26" spans="1:9" x14ac:dyDescent="0.3">
      <c r="A26" s="7" t="s">
        <v>25</v>
      </c>
      <c r="B26" s="3">
        <v>14377620</v>
      </c>
      <c r="C26" s="3">
        <v>135242</v>
      </c>
      <c r="D26" s="4">
        <v>93858394.819999993</v>
      </c>
      <c r="E26" s="5">
        <f t="shared" si="0"/>
        <v>6.5280898243241925</v>
      </c>
      <c r="F26" s="9">
        <v>0</v>
      </c>
      <c r="G26" s="6">
        <v>0.4</v>
      </c>
      <c r="H26" s="6">
        <v>-0.4</v>
      </c>
      <c r="I26" s="9">
        <v>0</v>
      </c>
    </row>
    <row r="27" spans="1:9" x14ac:dyDescent="0.3">
      <c r="A27" s="7" t="s">
        <v>26</v>
      </c>
      <c r="B27" s="3">
        <v>10367517</v>
      </c>
      <c r="C27" s="3">
        <v>125288</v>
      </c>
      <c r="D27" s="4">
        <v>64638686.68</v>
      </c>
      <c r="E27" s="5">
        <f t="shared" si="0"/>
        <v>6.234731679726206</v>
      </c>
      <c r="F27" s="9">
        <v>0</v>
      </c>
      <c r="G27" s="6">
        <v>0.2</v>
      </c>
      <c r="H27" s="6">
        <v>0.4</v>
      </c>
      <c r="I27" s="9">
        <v>0</v>
      </c>
    </row>
    <row r="28" spans="1:9" x14ac:dyDescent="0.3">
      <c r="A28" s="7" t="s">
        <v>27</v>
      </c>
      <c r="B28" s="3">
        <v>10599369</v>
      </c>
      <c r="C28" s="3">
        <v>135477</v>
      </c>
      <c r="D28" s="4">
        <v>64245275.259999998</v>
      </c>
      <c r="E28" s="5">
        <f t="shared" si="0"/>
        <v>6.0612358396051684</v>
      </c>
      <c r="F28" s="9">
        <v>0</v>
      </c>
      <c r="G28" s="6">
        <v>0.5</v>
      </c>
      <c r="H28" s="6">
        <v>0.1</v>
      </c>
      <c r="I28" s="9">
        <v>0</v>
      </c>
    </row>
    <row r="29" spans="1:9" x14ac:dyDescent="0.3">
      <c r="A29" s="7" t="s">
        <v>28</v>
      </c>
      <c r="B29" s="3">
        <v>7976023</v>
      </c>
      <c r="C29" s="3">
        <v>129155</v>
      </c>
      <c r="D29" s="4">
        <v>47899894.549999997</v>
      </c>
      <c r="E29" s="5">
        <f t="shared" si="0"/>
        <v>6.00548601101075</v>
      </c>
      <c r="F29" s="9">
        <v>0</v>
      </c>
      <c r="G29" s="6">
        <v>0.2</v>
      </c>
      <c r="H29" s="6">
        <v>-0.2</v>
      </c>
      <c r="I29" s="9">
        <v>0</v>
      </c>
    </row>
    <row r="30" spans="1:9" x14ac:dyDescent="0.3">
      <c r="A30" s="7" t="s">
        <v>29</v>
      </c>
      <c r="B30" s="3">
        <v>7633786</v>
      </c>
      <c r="C30" s="3">
        <v>123312</v>
      </c>
      <c r="D30" s="4">
        <v>47915658.75</v>
      </c>
      <c r="E30" s="5">
        <f t="shared" si="0"/>
        <v>6.2767883131646602</v>
      </c>
      <c r="F30" s="9">
        <v>0</v>
      </c>
      <c r="G30" s="6">
        <v>0.5</v>
      </c>
      <c r="H30" s="6">
        <v>-0.2</v>
      </c>
      <c r="I30" s="9">
        <v>0</v>
      </c>
    </row>
    <row r="31" spans="1:9" x14ac:dyDescent="0.3">
      <c r="A31" s="7" t="s">
        <v>30</v>
      </c>
      <c r="B31" s="3">
        <v>5764334</v>
      </c>
      <c r="C31" s="3">
        <v>106247</v>
      </c>
      <c r="D31" s="4">
        <v>35892048.490000002</v>
      </c>
      <c r="E31" s="5">
        <f t="shared" si="0"/>
        <v>6.2265733543545538</v>
      </c>
      <c r="F31" s="9">
        <v>0</v>
      </c>
      <c r="G31" s="6">
        <v>0.4</v>
      </c>
      <c r="H31" s="6">
        <v>0.2</v>
      </c>
      <c r="I31" s="9">
        <v>0</v>
      </c>
    </row>
    <row r="32" spans="1:9" x14ac:dyDescent="0.3">
      <c r="A32" s="7" t="s">
        <v>31</v>
      </c>
      <c r="B32" s="3">
        <v>4890552</v>
      </c>
      <c r="C32" s="3">
        <v>100324</v>
      </c>
      <c r="D32" s="4">
        <v>30286760.559999999</v>
      </c>
      <c r="E32" s="5">
        <f t="shared" si="0"/>
        <v>6.1929124892241196</v>
      </c>
      <c r="F32" s="9">
        <v>0</v>
      </c>
      <c r="G32" s="6">
        <v>0.4</v>
      </c>
      <c r="H32" s="6">
        <v>0.6</v>
      </c>
      <c r="I32" s="9">
        <v>0</v>
      </c>
    </row>
    <row r="33" spans="1:9" x14ac:dyDescent="0.3">
      <c r="A33" s="7" t="s">
        <v>32</v>
      </c>
      <c r="B33" s="3">
        <v>5554710</v>
      </c>
      <c r="C33" s="3">
        <v>92537</v>
      </c>
      <c r="D33" s="4">
        <v>33950429.32</v>
      </c>
      <c r="E33" s="5">
        <f t="shared" si="0"/>
        <v>6.1120075251453274</v>
      </c>
      <c r="F33" s="9">
        <v>0</v>
      </c>
      <c r="G33" s="6">
        <v>0.1</v>
      </c>
      <c r="H33" s="6">
        <v>0.7</v>
      </c>
      <c r="I33" s="9">
        <v>0</v>
      </c>
    </row>
    <row r="34" spans="1:9" x14ac:dyDescent="0.3">
      <c r="A34" s="7" t="s">
        <v>33</v>
      </c>
      <c r="B34" s="3">
        <v>8863449</v>
      </c>
      <c r="C34" s="3">
        <v>121879</v>
      </c>
      <c r="D34" s="4">
        <v>54968819.710000001</v>
      </c>
      <c r="E34" s="5">
        <f t="shared" ref="E34:E65" si="1">D34/B34</f>
        <v>6.2017415240951914</v>
      </c>
      <c r="F34" s="9">
        <v>0</v>
      </c>
      <c r="G34" s="6">
        <v>-0.3</v>
      </c>
      <c r="H34" s="6">
        <v>-1.4</v>
      </c>
      <c r="I34" s="9">
        <v>0</v>
      </c>
    </row>
    <row r="35" spans="1:9" x14ac:dyDescent="0.3">
      <c r="A35" s="7" t="s">
        <v>34</v>
      </c>
      <c r="B35" s="3">
        <v>9278606</v>
      </c>
      <c r="C35" s="3">
        <v>139457</v>
      </c>
      <c r="D35" s="4">
        <v>57883042.530000001</v>
      </c>
      <c r="E35" s="5">
        <f t="shared" si="1"/>
        <v>6.2383339189098015</v>
      </c>
      <c r="F35" s="9">
        <v>0</v>
      </c>
      <c r="G35" s="6">
        <v>0</v>
      </c>
      <c r="H35" s="6">
        <v>0</v>
      </c>
      <c r="I35" s="9">
        <v>0</v>
      </c>
    </row>
    <row r="36" spans="1:9" x14ac:dyDescent="0.3">
      <c r="A36" s="7" t="s">
        <v>35</v>
      </c>
      <c r="B36" s="3">
        <v>11979375</v>
      </c>
      <c r="C36" s="3">
        <v>148837</v>
      </c>
      <c r="D36" s="4">
        <v>71397425.560000002</v>
      </c>
      <c r="E36" s="5">
        <f t="shared" si="1"/>
        <v>5.9600292636301981</v>
      </c>
      <c r="F36" s="9">
        <v>0</v>
      </c>
      <c r="G36" s="6">
        <v>-0.4</v>
      </c>
      <c r="H36" s="6">
        <v>0</v>
      </c>
      <c r="I36" s="9">
        <v>0</v>
      </c>
    </row>
    <row r="37" spans="1:9" x14ac:dyDescent="0.3">
      <c r="A37" s="7" t="s">
        <v>36</v>
      </c>
      <c r="B37" s="3">
        <v>14525553</v>
      </c>
      <c r="C37" s="3">
        <v>156152</v>
      </c>
      <c r="D37" s="4">
        <v>95675512.799999997</v>
      </c>
      <c r="E37" s="5">
        <f t="shared" si="1"/>
        <v>6.58670363875303</v>
      </c>
      <c r="F37" s="9">
        <v>0</v>
      </c>
      <c r="G37" s="6">
        <v>-0.1</v>
      </c>
      <c r="H37" s="6">
        <v>0.5</v>
      </c>
      <c r="I37" s="9">
        <v>0</v>
      </c>
    </row>
    <row r="38" spans="1:9" x14ac:dyDescent="0.3">
      <c r="A38" s="7" t="s">
        <v>37</v>
      </c>
      <c r="B38" s="3">
        <v>14082091</v>
      </c>
      <c r="C38" s="3">
        <v>159647</v>
      </c>
      <c r="D38" s="4">
        <v>102088962.73</v>
      </c>
      <c r="E38" s="5">
        <f t="shared" si="1"/>
        <v>7.2495599360918774</v>
      </c>
      <c r="F38" s="9">
        <v>0</v>
      </c>
      <c r="G38" s="6">
        <v>-0.1</v>
      </c>
      <c r="H38" s="6">
        <v>-0.2</v>
      </c>
      <c r="I38" s="9">
        <v>0</v>
      </c>
    </row>
    <row r="39" spans="1:9" x14ac:dyDescent="0.3">
      <c r="A39" s="7" t="s">
        <v>38</v>
      </c>
      <c r="B39" s="3">
        <v>10054222</v>
      </c>
      <c r="C39" s="3">
        <v>139286</v>
      </c>
      <c r="D39" s="4">
        <v>63074004.880000003</v>
      </c>
      <c r="E39" s="5">
        <f t="shared" si="1"/>
        <v>6.2733849401773707</v>
      </c>
      <c r="F39" s="9">
        <v>0</v>
      </c>
      <c r="G39" s="6">
        <v>0.2</v>
      </c>
      <c r="H39" s="6">
        <v>0.5</v>
      </c>
      <c r="I39" s="9">
        <v>0</v>
      </c>
    </row>
    <row r="40" spans="1:9" x14ac:dyDescent="0.3">
      <c r="A40" s="7" t="s">
        <v>39</v>
      </c>
      <c r="B40" s="3">
        <v>9469298</v>
      </c>
      <c r="C40" s="3">
        <v>151055</v>
      </c>
      <c r="D40" s="4">
        <v>58485633.730000012</v>
      </c>
      <c r="E40" s="5">
        <f t="shared" si="1"/>
        <v>6.1763431386360441</v>
      </c>
      <c r="F40" s="9">
        <v>0</v>
      </c>
      <c r="G40" s="6">
        <v>0.1</v>
      </c>
      <c r="H40" s="6">
        <v>-0.2</v>
      </c>
      <c r="I40" s="9">
        <v>0</v>
      </c>
    </row>
    <row r="41" spans="1:9" x14ac:dyDescent="0.3">
      <c r="A41" s="7" t="s">
        <v>40</v>
      </c>
      <c r="B41" s="3">
        <v>8753677</v>
      </c>
      <c r="C41" s="3">
        <v>144553</v>
      </c>
      <c r="D41" s="4">
        <v>54830570.469999991</v>
      </c>
      <c r="E41" s="5">
        <f t="shared" si="1"/>
        <v>6.2637187172887456</v>
      </c>
      <c r="F41" s="9">
        <v>0</v>
      </c>
      <c r="G41" s="6">
        <v>0.2</v>
      </c>
      <c r="H41" s="6">
        <v>-0.1</v>
      </c>
      <c r="I41" s="9">
        <v>0</v>
      </c>
    </row>
    <row r="42" spans="1:9" x14ac:dyDescent="0.3">
      <c r="A42" s="7" t="s">
        <v>41</v>
      </c>
      <c r="B42" s="3">
        <v>8121750</v>
      </c>
      <c r="C42" s="3">
        <v>144446</v>
      </c>
      <c r="D42" s="4">
        <v>53280231.129999965</v>
      </c>
      <c r="E42" s="5">
        <f t="shared" si="1"/>
        <v>6.5601909847015687</v>
      </c>
      <c r="F42" s="9">
        <v>0</v>
      </c>
      <c r="G42" s="6">
        <v>0.2</v>
      </c>
      <c r="H42" s="6">
        <v>-0.3</v>
      </c>
      <c r="I42" s="9">
        <v>0</v>
      </c>
    </row>
    <row r="43" spans="1:9" x14ac:dyDescent="0.3">
      <c r="A43" s="7" t="s">
        <v>42</v>
      </c>
      <c r="B43" s="3">
        <v>5552556</v>
      </c>
      <c r="C43" s="3">
        <v>129454</v>
      </c>
      <c r="D43" s="4">
        <v>36525308.140000015</v>
      </c>
      <c r="E43" s="5">
        <f t="shared" si="1"/>
        <v>6.5781071167945022</v>
      </c>
      <c r="F43" s="9">
        <v>0</v>
      </c>
      <c r="G43" s="6">
        <v>0.1</v>
      </c>
      <c r="H43" s="6">
        <v>0.6</v>
      </c>
      <c r="I43" s="9">
        <v>0</v>
      </c>
    </row>
    <row r="44" spans="1:9" x14ac:dyDescent="0.3">
      <c r="A44" s="7" t="s">
        <v>43</v>
      </c>
      <c r="B44" s="3">
        <v>5838834</v>
      </c>
      <c r="C44" s="3">
        <v>121429</v>
      </c>
      <c r="D44" s="4">
        <v>38242498.330000006</v>
      </c>
      <c r="E44" s="5">
        <f t="shared" si="1"/>
        <v>6.5496806948099575</v>
      </c>
      <c r="F44" s="9">
        <v>0</v>
      </c>
      <c r="G44" s="6">
        <v>0</v>
      </c>
      <c r="H44" s="6">
        <v>0.4</v>
      </c>
      <c r="I44" s="9">
        <v>0</v>
      </c>
    </row>
    <row r="45" spans="1:9" x14ac:dyDescent="0.3">
      <c r="A45" s="7" t="s">
        <v>44</v>
      </c>
      <c r="B45" s="3">
        <v>4702480</v>
      </c>
      <c r="C45" s="3">
        <v>102833</v>
      </c>
      <c r="D45" s="4">
        <v>29461146.250000011</v>
      </c>
      <c r="E45" s="5">
        <f t="shared" si="1"/>
        <v>6.265023189891294</v>
      </c>
      <c r="F45" s="9">
        <v>0</v>
      </c>
      <c r="G45" s="6">
        <v>0.3</v>
      </c>
      <c r="H45" s="6">
        <v>0.5</v>
      </c>
      <c r="I45" s="9">
        <v>0</v>
      </c>
    </row>
    <row r="46" spans="1:9" x14ac:dyDescent="0.3">
      <c r="A46" s="7" t="s">
        <v>45</v>
      </c>
      <c r="B46" s="3">
        <v>8645748</v>
      </c>
      <c r="C46" s="3">
        <v>148119</v>
      </c>
      <c r="D46" s="4">
        <v>59331684.150000006</v>
      </c>
      <c r="E46" s="5">
        <f t="shared" si="1"/>
        <v>6.8625275858144379</v>
      </c>
      <c r="F46" s="9">
        <v>0</v>
      </c>
      <c r="G46" s="6">
        <v>-0.2</v>
      </c>
      <c r="H46" s="6">
        <v>-1.2</v>
      </c>
      <c r="I46" s="9">
        <v>0</v>
      </c>
    </row>
    <row r="47" spans="1:9" x14ac:dyDescent="0.3">
      <c r="A47" s="7" t="s">
        <v>46</v>
      </c>
      <c r="B47" s="3">
        <v>9549836</v>
      </c>
      <c r="C47" s="3">
        <v>163538</v>
      </c>
      <c r="D47" s="4">
        <v>65513699.600000016</v>
      </c>
      <c r="E47" s="5">
        <f t="shared" si="1"/>
        <v>6.8601910650612234</v>
      </c>
      <c r="F47" s="9">
        <v>0</v>
      </c>
      <c r="G47" s="6">
        <v>0</v>
      </c>
      <c r="H47" s="6">
        <v>0.2</v>
      </c>
      <c r="I47" s="9">
        <v>0</v>
      </c>
    </row>
    <row r="48" spans="1:9" x14ac:dyDescent="0.3">
      <c r="A48" s="7" t="s">
        <v>47</v>
      </c>
      <c r="B48" s="3">
        <v>12158596</v>
      </c>
      <c r="C48" s="3">
        <v>172291</v>
      </c>
      <c r="D48" s="4">
        <v>80529197.320000008</v>
      </c>
      <c r="E48" s="5">
        <f t="shared" si="1"/>
        <v>6.62323160667564</v>
      </c>
      <c r="F48" s="9">
        <v>0</v>
      </c>
      <c r="G48" s="6">
        <v>0.1</v>
      </c>
      <c r="H48" s="6">
        <v>-0.1</v>
      </c>
      <c r="I48" s="9">
        <v>0</v>
      </c>
    </row>
    <row r="49" spans="1:9" x14ac:dyDescent="0.3">
      <c r="A49" s="7" t="s">
        <v>48</v>
      </c>
      <c r="B49" s="3">
        <v>14545532</v>
      </c>
      <c r="C49" s="3">
        <v>209294</v>
      </c>
      <c r="D49" s="4">
        <v>101984564.36999999</v>
      </c>
      <c r="E49" s="5">
        <f t="shared" si="1"/>
        <v>7.0114014647246998</v>
      </c>
      <c r="F49" s="9">
        <v>0</v>
      </c>
      <c r="G49" s="6">
        <v>0.2</v>
      </c>
      <c r="H49" s="6">
        <v>0.7</v>
      </c>
      <c r="I49" s="9">
        <v>0</v>
      </c>
    </row>
    <row r="50" spans="1:9" x14ac:dyDescent="0.3">
      <c r="A50" s="7" t="s">
        <v>49</v>
      </c>
      <c r="B50" s="3">
        <v>18256607</v>
      </c>
      <c r="C50" s="3">
        <v>218250</v>
      </c>
      <c r="D50" s="4">
        <v>138924440.02000001</v>
      </c>
      <c r="E50" s="5">
        <f t="shared" si="1"/>
        <v>7.6095432201613376</v>
      </c>
      <c r="F50" s="9">
        <v>0</v>
      </c>
      <c r="G50" s="6">
        <v>0.1</v>
      </c>
      <c r="H50" s="6">
        <v>-0.3</v>
      </c>
      <c r="I50" s="9">
        <v>0</v>
      </c>
    </row>
    <row r="51" spans="1:9" x14ac:dyDescent="0.3">
      <c r="A51" s="7" t="s">
        <v>50</v>
      </c>
      <c r="B51" s="3">
        <v>12126207</v>
      </c>
      <c r="C51" s="3">
        <v>187995</v>
      </c>
      <c r="D51" s="4">
        <v>87720184.889999986</v>
      </c>
      <c r="E51" s="5">
        <f t="shared" si="1"/>
        <v>7.2339343118586035</v>
      </c>
      <c r="F51" s="9">
        <v>0</v>
      </c>
      <c r="G51" s="6">
        <v>0.1</v>
      </c>
      <c r="H51" s="6">
        <v>0.3</v>
      </c>
      <c r="I51" s="9">
        <v>0</v>
      </c>
    </row>
    <row r="52" spans="1:9" x14ac:dyDescent="0.3">
      <c r="A52" s="7" t="s">
        <v>51</v>
      </c>
      <c r="B52" s="3">
        <v>11999720</v>
      </c>
      <c r="C52" s="3">
        <v>214349</v>
      </c>
      <c r="D52" s="4">
        <v>85062058.459999979</v>
      </c>
      <c r="E52" s="5">
        <f t="shared" si="1"/>
        <v>7.0886702739730572</v>
      </c>
      <c r="F52" s="9">
        <v>0</v>
      </c>
      <c r="G52" s="6">
        <v>0.2</v>
      </c>
      <c r="H52" s="6">
        <v>0.1</v>
      </c>
      <c r="I52" s="9">
        <v>0</v>
      </c>
    </row>
    <row r="53" spans="1:9" x14ac:dyDescent="0.3">
      <c r="A53" s="7" t="s">
        <v>52</v>
      </c>
      <c r="B53" s="3">
        <v>8314741</v>
      </c>
      <c r="C53" s="3">
        <v>215466</v>
      </c>
      <c r="D53" s="4">
        <v>55473783.620000027</v>
      </c>
      <c r="E53" s="5">
        <f t="shared" si="1"/>
        <v>6.6717392183352464</v>
      </c>
      <c r="F53" s="9">
        <v>0</v>
      </c>
      <c r="G53" s="6">
        <v>0.4</v>
      </c>
      <c r="H53" s="6">
        <v>0.2</v>
      </c>
      <c r="I53" s="9">
        <v>0</v>
      </c>
    </row>
    <row r="54" spans="1:9" x14ac:dyDescent="0.3">
      <c r="A54" s="7" t="s">
        <v>53</v>
      </c>
      <c r="B54" s="3">
        <v>8463501</v>
      </c>
      <c r="C54" s="3">
        <v>225521</v>
      </c>
      <c r="D54" s="4">
        <v>55568147.069999985</v>
      </c>
      <c r="E54" s="5">
        <f t="shared" si="1"/>
        <v>6.5656218472710037</v>
      </c>
      <c r="F54" s="9">
        <v>0</v>
      </c>
      <c r="G54" s="6">
        <v>0.1</v>
      </c>
      <c r="H54" s="6">
        <v>-0.6</v>
      </c>
      <c r="I54" s="9">
        <v>0</v>
      </c>
    </row>
    <row r="55" spans="1:9" x14ac:dyDescent="0.3">
      <c r="A55" s="7" t="s">
        <v>54</v>
      </c>
      <c r="B55" s="3">
        <v>4924047</v>
      </c>
      <c r="C55" s="3">
        <v>186290</v>
      </c>
      <c r="D55" s="4">
        <v>32150218.220000003</v>
      </c>
      <c r="E55" s="5">
        <f t="shared" si="1"/>
        <v>6.5292265122570932</v>
      </c>
      <c r="F55" s="9">
        <v>0</v>
      </c>
      <c r="G55" s="6">
        <v>0</v>
      </c>
      <c r="H55" s="6">
        <v>0.3</v>
      </c>
      <c r="I55" s="9">
        <v>0</v>
      </c>
    </row>
    <row r="56" spans="1:9" x14ac:dyDescent="0.3">
      <c r="A56" s="7" t="s">
        <v>55</v>
      </c>
      <c r="B56" s="3">
        <v>6110236</v>
      </c>
      <c r="C56" s="3">
        <v>173763</v>
      </c>
      <c r="D56" s="4">
        <v>41494041.549999997</v>
      </c>
      <c r="E56" s="5">
        <f t="shared" si="1"/>
        <v>6.7909065296332249</v>
      </c>
      <c r="F56" s="9">
        <v>0</v>
      </c>
      <c r="G56" s="6">
        <v>0.4</v>
      </c>
      <c r="H56" s="6">
        <v>0.3</v>
      </c>
      <c r="I56" s="9">
        <v>0</v>
      </c>
    </row>
    <row r="57" spans="1:9" x14ac:dyDescent="0.3">
      <c r="A57" s="7" t="s">
        <v>56</v>
      </c>
      <c r="B57" s="3">
        <v>5573442</v>
      </c>
      <c r="C57" s="3">
        <v>154699</v>
      </c>
      <c r="D57" s="4">
        <v>35018576.360000007</v>
      </c>
      <c r="E57" s="5">
        <f t="shared" si="1"/>
        <v>6.2831148794586911</v>
      </c>
      <c r="F57" s="9">
        <v>0</v>
      </c>
      <c r="G57" s="6">
        <v>0.2</v>
      </c>
      <c r="H57" s="6">
        <v>0.2</v>
      </c>
      <c r="I57" s="9">
        <v>0</v>
      </c>
    </row>
    <row r="58" spans="1:9" x14ac:dyDescent="0.3">
      <c r="A58" s="7" t="s">
        <v>57</v>
      </c>
      <c r="B58" s="3">
        <v>8622273</v>
      </c>
      <c r="C58" s="3">
        <v>225489</v>
      </c>
      <c r="D58" s="4">
        <v>60038798.660000019</v>
      </c>
      <c r="E58" s="5">
        <f t="shared" si="1"/>
        <v>6.9632217235524809</v>
      </c>
      <c r="F58" s="9">
        <v>0</v>
      </c>
      <c r="G58" s="6">
        <v>-0.3</v>
      </c>
      <c r="H58" s="6">
        <v>-1</v>
      </c>
      <c r="I58" s="9">
        <v>0</v>
      </c>
    </row>
    <row r="59" spans="1:9" x14ac:dyDescent="0.3">
      <c r="A59" s="7" t="s">
        <v>58</v>
      </c>
      <c r="B59" s="3">
        <v>12654159</v>
      </c>
      <c r="C59" s="3">
        <v>246588</v>
      </c>
      <c r="D59" s="4">
        <v>86440321.889999986</v>
      </c>
      <c r="E59" s="5">
        <f t="shared" si="1"/>
        <v>6.830981173067288</v>
      </c>
      <c r="F59" s="9">
        <v>0</v>
      </c>
      <c r="G59" s="6">
        <v>0.3</v>
      </c>
      <c r="H59" s="6">
        <v>0.7</v>
      </c>
      <c r="I59" s="9">
        <v>0</v>
      </c>
    </row>
    <row r="60" spans="1:9" x14ac:dyDescent="0.3">
      <c r="A60" s="7" t="s">
        <v>59</v>
      </c>
      <c r="B60" s="3">
        <v>11857229</v>
      </c>
      <c r="C60" s="3">
        <v>244745</v>
      </c>
      <c r="D60" s="4">
        <v>77594636.949999988</v>
      </c>
      <c r="E60" s="5">
        <f t="shared" si="1"/>
        <v>6.5440784647070567</v>
      </c>
      <c r="F60" s="9">
        <v>0</v>
      </c>
      <c r="G60" s="6">
        <v>0.1</v>
      </c>
      <c r="H60" s="6">
        <v>0.2</v>
      </c>
      <c r="I60" s="9">
        <v>0</v>
      </c>
    </row>
    <row r="61" spans="1:9" x14ac:dyDescent="0.3">
      <c r="A61" s="7" t="s">
        <v>60</v>
      </c>
      <c r="B61" s="3">
        <v>13817210</v>
      </c>
      <c r="C61" s="3">
        <v>265326</v>
      </c>
      <c r="D61" s="4">
        <v>94356700.230000019</v>
      </c>
      <c r="E61" s="5">
        <f t="shared" si="1"/>
        <v>6.8289256825364903</v>
      </c>
      <c r="F61" s="9">
        <v>0</v>
      </c>
      <c r="G61" s="6">
        <v>0.4</v>
      </c>
      <c r="H61" s="6">
        <v>0.5</v>
      </c>
      <c r="I61" s="9">
        <v>0</v>
      </c>
    </row>
    <row r="62" spans="1:9" x14ac:dyDescent="0.3">
      <c r="A62" s="7" t="s">
        <v>61</v>
      </c>
      <c r="B62" s="3">
        <v>20821431</v>
      </c>
      <c r="C62" s="3">
        <v>285826</v>
      </c>
      <c r="D62" s="4">
        <v>143127790.51999995</v>
      </c>
      <c r="E62" s="5">
        <f t="shared" si="1"/>
        <v>6.8740611786000656</v>
      </c>
      <c r="F62" s="9">
        <v>0</v>
      </c>
      <c r="G62" s="6">
        <v>0.3</v>
      </c>
      <c r="H62" s="6">
        <v>-0.5</v>
      </c>
      <c r="I62" s="9">
        <v>0</v>
      </c>
    </row>
    <row r="63" spans="1:9" x14ac:dyDescent="0.3">
      <c r="A63" s="7" t="s">
        <v>62</v>
      </c>
      <c r="B63" s="3">
        <v>10240373</v>
      </c>
      <c r="C63" s="3">
        <v>237074</v>
      </c>
      <c r="D63" s="4">
        <v>63805910.020000003</v>
      </c>
      <c r="E63" s="5">
        <f t="shared" si="1"/>
        <v>6.230818937942983</v>
      </c>
      <c r="F63" s="9">
        <v>0</v>
      </c>
      <c r="G63" s="6">
        <v>0.3</v>
      </c>
      <c r="H63" s="6">
        <v>-0.1</v>
      </c>
      <c r="I63" s="9">
        <v>0</v>
      </c>
    </row>
    <row r="64" spans="1:9" x14ac:dyDescent="0.3">
      <c r="A64" s="7" t="s">
        <v>63</v>
      </c>
      <c r="B64" s="3">
        <v>9462149</v>
      </c>
      <c r="C64" s="3">
        <v>256782</v>
      </c>
      <c r="D64" s="4">
        <v>57006934.700000003</v>
      </c>
      <c r="E64" s="5">
        <f t="shared" si="1"/>
        <v>6.024734412869635</v>
      </c>
      <c r="F64" s="9">
        <v>0</v>
      </c>
      <c r="G64" s="6">
        <v>0.4</v>
      </c>
      <c r="H64" s="6">
        <v>-0.5</v>
      </c>
      <c r="I64" s="9">
        <v>0</v>
      </c>
    </row>
    <row r="65" spans="1:9" x14ac:dyDescent="0.3">
      <c r="A65" s="7" t="s">
        <v>64</v>
      </c>
      <c r="B65" s="3">
        <v>7286091</v>
      </c>
      <c r="C65" s="3">
        <v>248924</v>
      </c>
      <c r="D65" s="4">
        <v>45658665.060000002</v>
      </c>
      <c r="E65" s="5">
        <f t="shared" si="1"/>
        <v>6.2665515788918915</v>
      </c>
      <c r="F65" s="9">
        <v>0</v>
      </c>
      <c r="G65" s="6">
        <v>0.5</v>
      </c>
      <c r="H65" s="6">
        <v>0.2</v>
      </c>
      <c r="I65" s="9">
        <v>0</v>
      </c>
    </row>
    <row r="66" spans="1:9" x14ac:dyDescent="0.3">
      <c r="A66" s="7" t="s">
        <v>65</v>
      </c>
      <c r="B66" s="3">
        <v>8101057</v>
      </c>
      <c r="C66" s="3">
        <v>243242</v>
      </c>
      <c r="D66" s="4">
        <v>53391094.639999993</v>
      </c>
      <c r="E66" s="5">
        <f t="shared" ref="E66:E85" si="2">D66/B66</f>
        <v>6.5906331284917501</v>
      </c>
      <c r="F66" s="9">
        <v>0</v>
      </c>
      <c r="G66" s="6">
        <v>0.1</v>
      </c>
      <c r="H66" s="6">
        <v>-0.3</v>
      </c>
      <c r="I66" s="9">
        <v>0</v>
      </c>
    </row>
    <row r="67" spans="1:9" x14ac:dyDescent="0.3">
      <c r="A67" s="7" t="s">
        <v>66</v>
      </c>
      <c r="B67" s="3">
        <v>6245640</v>
      </c>
      <c r="C67" s="3">
        <v>218755</v>
      </c>
      <c r="D67" s="4">
        <v>40258526.680000007</v>
      </c>
      <c r="E67" s="5">
        <f t="shared" si="2"/>
        <v>6.4458609013647932</v>
      </c>
      <c r="F67" s="9">
        <v>0</v>
      </c>
      <c r="G67" s="6">
        <v>0.1</v>
      </c>
      <c r="H67" s="6">
        <v>0.4</v>
      </c>
      <c r="I67" s="9">
        <v>0</v>
      </c>
    </row>
    <row r="68" spans="1:9" x14ac:dyDescent="0.3">
      <c r="A68" s="7" t="s">
        <v>67</v>
      </c>
      <c r="B68" s="3">
        <v>6888166</v>
      </c>
      <c r="C68" s="3">
        <v>197419</v>
      </c>
      <c r="D68" s="4">
        <v>49731862.270000003</v>
      </c>
      <c r="E68" s="5">
        <f t="shared" si="2"/>
        <v>7.2198989208448232</v>
      </c>
      <c r="F68" s="9">
        <v>0</v>
      </c>
      <c r="G68" s="6">
        <v>0.3</v>
      </c>
      <c r="H68" s="6">
        <v>0.3</v>
      </c>
      <c r="I68" s="9">
        <v>0</v>
      </c>
    </row>
    <row r="69" spans="1:9" x14ac:dyDescent="0.3">
      <c r="A69" s="7" t="s">
        <v>68</v>
      </c>
      <c r="B69" s="3">
        <v>4652907</v>
      </c>
      <c r="C69" s="3">
        <v>172824</v>
      </c>
      <c r="D69" s="4">
        <v>29194084.969999991</v>
      </c>
      <c r="E69" s="5">
        <f t="shared" si="2"/>
        <v>6.2743753464232128</v>
      </c>
      <c r="F69" s="9">
        <v>0</v>
      </c>
      <c r="G69" s="6">
        <v>0.4</v>
      </c>
      <c r="H69" s="6">
        <v>0.3</v>
      </c>
      <c r="I69" s="9">
        <v>0</v>
      </c>
    </row>
    <row r="70" spans="1:9" x14ac:dyDescent="0.3">
      <c r="A70" s="7" t="s">
        <v>69</v>
      </c>
      <c r="B70" s="3">
        <v>6721846</v>
      </c>
      <c r="C70" s="3">
        <v>246141</v>
      </c>
      <c r="D70" s="4">
        <v>46269483.739999995</v>
      </c>
      <c r="E70" s="5">
        <f t="shared" si="2"/>
        <v>6.8834489424482497</v>
      </c>
      <c r="F70" s="9">
        <v>0</v>
      </c>
      <c r="G70" s="6">
        <v>-0.1</v>
      </c>
      <c r="H70" s="6">
        <v>0.2</v>
      </c>
      <c r="I70" s="9">
        <v>0</v>
      </c>
    </row>
    <row r="71" spans="1:9" x14ac:dyDescent="0.3">
      <c r="A71" s="7" t="s">
        <v>70</v>
      </c>
      <c r="B71" s="3">
        <v>9337667</v>
      </c>
      <c r="C71" s="3">
        <v>284335</v>
      </c>
      <c r="D71" s="4">
        <v>60496789.800000012</v>
      </c>
      <c r="E71" s="5">
        <f t="shared" si="2"/>
        <v>6.4787906658054961</v>
      </c>
      <c r="F71" s="9">
        <v>0</v>
      </c>
      <c r="G71" s="6">
        <v>0.6</v>
      </c>
      <c r="H71" s="6">
        <v>0</v>
      </c>
      <c r="I71" s="9">
        <v>0</v>
      </c>
    </row>
    <row r="72" spans="1:9" x14ac:dyDescent="0.3">
      <c r="A72" s="7" t="s">
        <v>71</v>
      </c>
      <c r="B72" s="3">
        <v>11790590</v>
      </c>
      <c r="C72" s="3">
        <v>280559</v>
      </c>
      <c r="D72" s="4">
        <v>76131938.949999973</v>
      </c>
      <c r="E72" s="5">
        <f t="shared" si="2"/>
        <v>6.4570084236666672</v>
      </c>
      <c r="F72" s="9">
        <v>0</v>
      </c>
      <c r="G72" s="6">
        <v>0.1</v>
      </c>
      <c r="H72" s="6">
        <v>-0.4</v>
      </c>
      <c r="I72" s="9">
        <v>0</v>
      </c>
    </row>
    <row r="73" spans="1:9" x14ac:dyDescent="0.3">
      <c r="A73" s="7" t="s">
        <v>72</v>
      </c>
      <c r="B73" s="3">
        <v>12870663</v>
      </c>
      <c r="C73" s="3">
        <v>303743</v>
      </c>
      <c r="D73" s="4">
        <v>86383077.289999992</v>
      </c>
      <c r="E73" s="5">
        <f t="shared" si="2"/>
        <v>6.7116260669710641</v>
      </c>
      <c r="F73" s="9">
        <v>0</v>
      </c>
      <c r="G73" s="6">
        <v>0.3</v>
      </c>
      <c r="H73" s="6">
        <v>0.2</v>
      </c>
      <c r="I73" s="9">
        <v>0</v>
      </c>
    </row>
    <row r="74" spans="1:9" x14ac:dyDescent="0.3">
      <c r="A74" s="7" t="s">
        <v>73</v>
      </c>
      <c r="B74" s="3">
        <v>14454999</v>
      </c>
      <c r="C74" s="3">
        <v>302887</v>
      </c>
      <c r="D74" s="4">
        <v>104420989.57000008</v>
      </c>
      <c r="E74" s="5">
        <f t="shared" si="2"/>
        <v>7.2238669521872731</v>
      </c>
      <c r="F74" s="9">
        <v>0</v>
      </c>
      <c r="G74" s="6">
        <v>0.4</v>
      </c>
      <c r="H74" s="6">
        <v>0</v>
      </c>
      <c r="I74" s="9">
        <v>0</v>
      </c>
    </row>
    <row r="75" spans="1:9" x14ac:dyDescent="0.3">
      <c r="A75" s="7" t="s">
        <v>74</v>
      </c>
      <c r="B75" s="3">
        <v>8137690</v>
      </c>
      <c r="C75" s="3">
        <v>250196</v>
      </c>
      <c r="D75" s="4">
        <v>56056984.219999991</v>
      </c>
      <c r="E75" s="5">
        <f t="shared" si="2"/>
        <v>6.8885622602974541</v>
      </c>
      <c r="F75" s="9">
        <v>0</v>
      </c>
      <c r="G75" s="6">
        <v>0.4</v>
      </c>
      <c r="H75" s="6">
        <v>0.6</v>
      </c>
      <c r="I75" s="9">
        <v>0</v>
      </c>
    </row>
    <row r="76" spans="1:9" x14ac:dyDescent="0.3">
      <c r="A76" s="7" t="s">
        <v>75</v>
      </c>
      <c r="B76" s="3">
        <v>8891714</v>
      </c>
      <c r="C76" s="3">
        <v>280559</v>
      </c>
      <c r="D76" s="4">
        <v>57425532.350000016</v>
      </c>
      <c r="E76" s="5">
        <f t="shared" si="2"/>
        <v>6.4583197738928639</v>
      </c>
      <c r="F76" s="9">
        <v>0</v>
      </c>
      <c r="G76" s="6">
        <v>0.4</v>
      </c>
      <c r="H76" s="6">
        <v>-1</v>
      </c>
      <c r="I76" s="9">
        <v>0</v>
      </c>
    </row>
    <row r="77" spans="1:9" x14ac:dyDescent="0.3">
      <c r="A77" s="7" t="s">
        <v>76</v>
      </c>
      <c r="B77" s="3">
        <v>10184440</v>
      </c>
      <c r="C77" s="3">
        <v>271138</v>
      </c>
      <c r="D77" s="4">
        <v>74281958.459999993</v>
      </c>
      <c r="E77" s="5">
        <f t="shared" si="2"/>
        <v>7.2936713712290508</v>
      </c>
      <c r="F77" s="9">
        <v>0</v>
      </c>
      <c r="G77" s="6">
        <v>0.5</v>
      </c>
      <c r="H77" s="6">
        <v>0.2</v>
      </c>
      <c r="I77" s="9">
        <v>0</v>
      </c>
    </row>
    <row r="78" spans="1:9" x14ac:dyDescent="0.3">
      <c r="A78" s="7" t="s">
        <v>77</v>
      </c>
      <c r="B78" s="3">
        <v>6687339</v>
      </c>
      <c r="C78" s="3">
        <v>248961</v>
      </c>
      <c r="D78" s="4">
        <v>45600991.800000019</v>
      </c>
      <c r="E78" s="5">
        <f t="shared" si="2"/>
        <v>6.8190040612566554</v>
      </c>
      <c r="F78" s="9">
        <v>0</v>
      </c>
      <c r="G78" s="6">
        <v>-0.1</v>
      </c>
      <c r="H78" s="6">
        <v>-0.2</v>
      </c>
      <c r="I78" s="9">
        <v>0</v>
      </c>
    </row>
    <row r="79" spans="1:9" x14ac:dyDescent="0.3">
      <c r="A79" s="7" t="s">
        <v>78</v>
      </c>
      <c r="B79" s="3">
        <v>3197555</v>
      </c>
      <c r="C79" s="3">
        <v>201233</v>
      </c>
      <c r="D79" s="4">
        <v>20876786.99000001</v>
      </c>
      <c r="E79" s="5">
        <f t="shared" si="2"/>
        <v>6.5289844865842834</v>
      </c>
      <c r="F79" s="9">
        <v>0</v>
      </c>
      <c r="G79" s="6">
        <v>0.2</v>
      </c>
      <c r="H79" s="6">
        <v>0.4</v>
      </c>
      <c r="I79" s="9">
        <v>0</v>
      </c>
    </row>
    <row r="80" spans="1:9" x14ac:dyDescent="0.3">
      <c r="A80" s="7" t="s">
        <v>79</v>
      </c>
      <c r="B80" s="3">
        <v>4733054</v>
      </c>
      <c r="C80" s="3">
        <v>177937</v>
      </c>
      <c r="D80" s="4">
        <v>32068789.309999991</v>
      </c>
      <c r="E80" s="5">
        <f t="shared" si="2"/>
        <v>6.7754961828028986</v>
      </c>
      <c r="F80" s="9">
        <v>0</v>
      </c>
      <c r="G80" s="6">
        <v>0.1</v>
      </c>
      <c r="H80" s="6">
        <v>0.1</v>
      </c>
      <c r="I80" s="9">
        <v>0</v>
      </c>
    </row>
    <row r="81" spans="1:9" x14ac:dyDescent="0.3">
      <c r="A81" s="7" t="s">
        <v>80</v>
      </c>
      <c r="B81" s="3">
        <v>5467550</v>
      </c>
      <c r="C81" s="3">
        <v>158293</v>
      </c>
      <c r="D81" s="4">
        <v>36083258.230000012</v>
      </c>
      <c r="E81" s="5">
        <f t="shared" si="2"/>
        <v>6.5995296302731594</v>
      </c>
      <c r="F81" s="9">
        <v>0</v>
      </c>
      <c r="G81" s="6">
        <v>0.5</v>
      </c>
      <c r="H81" s="6">
        <v>0.2</v>
      </c>
      <c r="I81" s="9">
        <v>0</v>
      </c>
    </row>
    <row r="82" spans="1:9" x14ac:dyDescent="0.3">
      <c r="A82" s="7" t="s">
        <v>81</v>
      </c>
      <c r="B82" s="3">
        <v>9021119</v>
      </c>
      <c r="C82" s="3">
        <v>249049</v>
      </c>
      <c r="D82" s="4">
        <v>66202532.149999961</v>
      </c>
      <c r="E82" s="5">
        <f t="shared" si="2"/>
        <v>7.3386164343913389</v>
      </c>
      <c r="F82" s="9">
        <v>0</v>
      </c>
      <c r="G82" s="6">
        <v>-0.1</v>
      </c>
      <c r="H82" s="6">
        <v>-0.3</v>
      </c>
      <c r="I82" s="9">
        <v>0</v>
      </c>
    </row>
    <row r="83" spans="1:9" x14ac:dyDescent="0.3">
      <c r="A83" s="7" t="s">
        <v>82</v>
      </c>
      <c r="B83" s="3">
        <v>8835074</v>
      </c>
      <c r="C83" s="3">
        <v>275418</v>
      </c>
      <c r="D83" s="4">
        <v>62104279.279999979</v>
      </c>
      <c r="E83" s="5">
        <f t="shared" si="2"/>
        <v>7.0292879584256998</v>
      </c>
      <c r="F83" s="9">
        <v>0</v>
      </c>
      <c r="G83" s="6">
        <v>0.1</v>
      </c>
      <c r="H83" s="6">
        <v>0</v>
      </c>
      <c r="I83" s="9">
        <v>0</v>
      </c>
    </row>
    <row r="84" spans="1:9" x14ac:dyDescent="0.3">
      <c r="A84" s="7" t="s">
        <v>83</v>
      </c>
      <c r="B84" s="3">
        <v>11281514</v>
      </c>
      <c r="C84" s="3">
        <v>268663</v>
      </c>
      <c r="D84" s="4">
        <v>76017152.969999984</v>
      </c>
      <c r="E84" s="5">
        <f t="shared" si="2"/>
        <v>6.7382049049444941</v>
      </c>
      <c r="F84" s="9">
        <v>0</v>
      </c>
      <c r="G84" s="6">
        <v>-0.2</v>
      </c>
      <c r="H84" s="6">
        <v>-0.5</v>
      </c>
      <c r="I84" s="9">
        <v>0</v>
      </c>
    </row>
    <row r="85" spans="1:9" x14ac:dyDescent="0.3">
      <c r="A85" s="7" t="s">
        <v>84</v>
      </c>
      <c r="B85" s="3">
        <v>11741060</v>
      </c>
      <c r="C85" s="3">
        <v>299221</v>
      </c>
      <c r="D85" s="4">
        <v>85683530.38000007</v>
      </c>
      <c r="E85" s="5">
        <f t="shared" si="2"/>
        <v>7.2977678659337464</v>
      </c>
      <c r="F85" s="9">
        <v>0</v>
      </c>
      <c r="G85" s="6">
        <v>0.3</v>
      </c>
      <c r="H85" s="6">
        <v>0.1</v>
      </c>
      <c r="I85" s="9">
        <v>0</v>
      </c>
    </row>
    <row r="86" spans="1:9" x14ac:dyDescent="0.3">
      <c r="A86" s="7" t="s">
        <v>85</v>
      </c>
      <c r="B86" s="3"/>
      <c r="C86" s="3"/>
      <c r="D86" s="4"/>
      <c r="E86" s="5"/>
      <c r="F86" s="9">
        <v>0</v>
      </c>
      <c r="G86" s="6">
        <v>0.2</v>
      </c>
      <c r="H86" s="6">
        <v>0</v>
      </c>
      <c r="I86" s="9">
        <v>0</v>
      </c>
    </row>
    <row r="87" spans="1:9" x14ac:dyDescent="0.3">
      <c r="A87" s="7" t="s">
        <v>86</v>
      </c>
      <c r="B87" s="3"/>
      <c r="C87" s="3"/>
      <c r="D87" s="4"/>
      <c r="E87" s="5"/>
      <c r="F87" s="9">
        <v>0</v>
      </c>
      <c r="G87" s="6">
        <v>0</v>
      </c>
      <c r="H87" s="6">
        <v>0.5</v>
      </c>
      <c r="I87" s="9">
        <v>0</v>
      </c>
    </row>
    <row r="88" spans="1:9" x14ac:dyDescent="0.3">
      <c r="A88" s="7" t="s">
        <v>87</v>
      </c>
      <c r="B88" s="3"/>
      <c r="C88" s="3"/>
      <c r="D88" s="4"/>
      <c r="E88" s="5"/>
      <c r="F88" s="9">
        <v>0</v>
      </c>
      <c r="G88" s="6">
        <v>0.2</v>
      </c>
      <c r="H88" s="6">
        <v>0.1</v>
      </c>
      <c r="I88" s="9">
        <v>0</v>
      </c>
    </row>
    <row r="89" spans="1:9" x14ac:dyDescent="0.3">
      <c r="A89" s="7" t="s">
        <v>88</v>
      </c>
      <c r="B89" s="3"/>
      <c r="C89" s="3"/>
      <c r="D89" s="4"/>
      <c r="E89" s="5"/>
      <c r="F89" s="9">
        <v>0</v>
      </c>
      <c r="G89" s="6">
        <v>0</v>
      </c>
      <c r="H89" s="6">
        <v>-0.4</v>
      </c>
      <c r="I89" s="9">
        <v>0</v>
      </c>
    </row>
    <row r="90" spans="1:9" x14ac:dyDescent="0.3">
      <c r="A90" s="7" t="s">
        <v>89</v>
      </c>
      <c r="B90" s="3"/>
      <c r="C90" s="3"/>
      <c r="D90" s="4"/>
      <c r="E90" s="5"/>
      <c r="F90" s="9">
        <v>0</v>
      </c>
      <c r="G90" s="6">
        <v>-0.1</v>
      </c>
      <c r="H90" s="6">
        <v>-0.4</v>
      </c>
      <c r="I90" s="9">
        <v>0</v>
      </c>
    </row>
    <row r="91" spans="1:9" x14ac:dyDescent="0.3">
      <c r="A91" s="7" t="s">
        <v>90</v>
      </c>
      <c r="B91" s="3"/>
      <c r="C91" s="3"/>
      <c r="D91" s="4"/>
      <c r="E91" s="5"/>
      <c r="F91" s="9">
        <v>0</v>
      </c>
      <c r="G91" s="6">
        <v>0.3</v>
      </c>
      <c r="H91" s="6">
        <v>0.4</v>
      </c>
      <c r="I91" s="9">
        <v>0</v>
      </c>
    </row>
    <row r="92" spans="1:9" x14ac:dyDescent="0.3">
      <c r="A92" s="7" t="s">
        <v>91</v>
      </c>
      <c r="B92" s="3"/>
      <c r="C92" s="3"/>
      <c r="D92" s="4"/>
      <c r="E92" s="5"/>
      <c r="F92" s="9">
        <v>0</v>
      </c>
      <c r="G92" s="6">
        <v>0</v>
      </c>
      <c r="H92" s="6">
        <v>0.3</v>
      </c>
      <c r="I92" s="9">
        <v>0</v>
      </c>
    </row>
    <row r="93" spans="1:9" x14ac:dyDescent="0.3">
      <c r="A93" s="7" t="s">
        <v>92</v>
      </c>
      <c r="B93" s="3"/>
      <c r="C93" s="3"/>
      <c r="D93" s="4"/>
      <c r="E93" s="5"/>
      <c r="F93" s="9">
        <v>1</v>
      </c>
      <c r="G93" s="6">
        <v>0.4</v>
      </c>
      <c r="H93" s="6">
        <v>0.5</v>
      </c>
      <c r="I93" s="9">
        <v>0</v>
      </c>
    </row>
    <row r="94" spans="1:9" x14ac:dyDescent="0.3">
      <c r="A94" s="7" t="s">
        <v>93</v>
      </c>
      <c r="B94" s="3"/>
      <c r="C94" s="3"/>
      <c r="D94" s="4"/>
      <c r="E94" s="5"/>
      <c r="F94" s="9">
        <v>0</v>
      </c>
      <c r="G94" s="6">
        <v>-0.3</v>
      </c>
      <c r="H94" s="6">
        <v>-0.2</v>
      </c>
      <c r="I94" s="9">
        <v>0</v>
      </c>
    </row>
    <row r="95" spans="1:9" x14ac:dyDescent="0.3">
      <c r="A95" s="7" t="s">
        <v>94</v>
      </c>
      <c r="B95" s="3"/>
      <c r="C95" s="3"/>
      <c r="D95" s="4"/>
      <c r="E95" s="5"/>
      <c r="F95" s="9">
        <v>1</v>
      </c>
      <c r="G95" s="6">
        <v>-0.1</v>
      </c>
      <c r="H95" s="6">
        <v>0.2</v>
      </c>
      <c r="I95" s="9">
        <v>0</v>
      </c>
    </row>
    <row r="96" spans="1:9" x14ac:dyDescent="0.3">
      <c r="A96" s="7" t="s">
        <v>95</v>
      </c>
      <c r="B96" s="3"/>
      <c r="C96" s="3"/>
      <c r="D96" s="4"/>
      <c r="E96" s="5"/>
      <c r="F96" s="9">
        <v>1</v>
      </c>
      <c r="G96" s="6">
        <v>-0.3</v>
      </c>
      <c r="H96" s="6">
        <v>-0.2</v>
      </c>
      <c r="I96" s="9">
        <v>0</v>
      </c>
    </row>
    <row r="97" spans="1:9" x14ac:dyDescent="0.3">
      <c r="A97" s="7" t="s">
        <v>96</v>
      </c>
      <c r="B97" s="3"/>
      <c r="C97" s="3"/>
      <c r="D97" s="4"/>
      <c r="E97" s="5"/>
      <c r="F97" s="9">
        <v>1</v>
      </c>
      <c r="G97" s="6">
        <v>0.3</v>
      </c>
      <c r="H97" s="6">
        <v>0.2</v>
      </c>
      <c r="I97" s="9">
        <v>0</v>
      </c>
    </row>
    <row r="98" spans="1:9" x14ac:dyDescent="0.3">
      <c r="A98" s="7" t="s">
        <v>97</v>
      </c>
      <c r="B98" s="3">
        <v>13527165</v>
      </c>
      <c r="C98" s="3">
        <v>300998</v>
      </c>
      <c r="D98" s="4">
        <v>103319866.01999998</v>
      </c>
      <c r="E98" s="5">
        <f t="shared" ref="E98:E129" si="3">D98/B98</f>
        <v>7.637954147820329</v>
      </c>
      <c r="F98" s="9">
        <v>1</v>
      </c>
      <c r="G98" s="6">
        <v>0.2</v>
      </c>
      <c r="H98" s="6">
        <v>0</v>
      </c>
      <c r="I98" s="9">
        <v>0</v>
      </c>
    </row>
    <row r="99" spans="1:9" x14ac:dyDescent="0.3">
      <c r="A99" s="7" t="s">
        <v>98</v>
      </c>
      <c r="B99" s="3">
        <v>10184831</v>
      </c>
      <c r="C99" s="3">
        <v>257609</v>
      </c>
      <c r="D99" s="4">
        <v>69051377.180000007</v>
      </c>
      <c r="E99" s="5">
        <f t="shared" si="3"/>
        <v>6.7798255248417973</v>
      </c>
      <c r="F99" s="9">
        <v>1</v>
      </c>
      <c r="G99" s="6">
        <v>-0.1</v>
      </c>
      <c r="H99" s="6">
        <v>0.1</v>
      </c>
      <c r="I99" s="9">
        <v>0</v>
      </c>
    </row>
    <row r="100" spans="1:9" x14ac:dyDescent="0.3">
      <c r="A100" s="7" t="s">
        <v>99</v>
      </c>
      <c r="B100" s="3">
        <v>9027084</v>
      </c>
      <c r="C100" s="3">
        <v>287081</v>
      </c>
      <c r="D100" s="4">
        <v>61319936.259999998</v>
      </c>
      <c r="E100" s="5">
        <f t="shared" si="3"/>
        <v>6.7928841982638026</v>
      </c>
      <c r="F100" s="9">
        <v>1</v>
      </c>
      <c r="G100" s="6">
        <v>0</v>
      </c>
      <c r="H100" s="6">
        <v>0.1</v>
      </c>
      <c r="I100" s="9">
        <v>0</v>
      </c>
    </row>
    <row r="101" spans="1:9" x14ac:dyDescent="0.3">
      <c r="A101" s="7" t="s">
        <v>100</v>
      </c>
      <c r="B101" s="3">
        <v>8087519</v>
      </c>
      <c r="C101" s="3">
        <v>262131</v>
      </c>
      <c r="D101" s="4">
        <v>57344004.940000027</v>
      </c>
      <c r="E101" s="5">
        <f t="shared" si="3"/>
        <v>7.0904321758007649</v>
      </c>
      <c r="F101" s="9">
        <v>1</v>
      </c>
      <c r="G101" s="6">
        <v>0.1</v>
      </c>
      <c r="H101" s="6">
        <v>-0.4</v>
      </c>
      <c r="I101" s="9">
        <v>0</v>
      </c>
    </row>
    <row r="102" spans="1:9" x14ac:dyDescent="0.3">
      <c r="A102" s="7" t="s">
        <v>101</v>
      </c>
      <c r="B102" s="3">
        <v>7250203</v>
      </c>
      <c r="C102" s="3">
        <v>265450</v>
      </c>
      <c r="D102" s="4">
        <v>44066675.719999991</v>
      </c>
      <c r="E102" s="5">
        <f t="shared" si="3"/>
        <v>6.0779919845002945</v>
      </c>
      <c r="F102" s="9">
        <v>1</v>
      </c>
      <c r="G102" s="6">
        <v>-0.1</v>
      </c>
      <c r="H102" s="6">
        <v>-0.4</v>
      </c>
      <c r="I102" s="9">
        <v>0</v>
      </c>
    </row>
    <row r="103" spans="1:9" x14ac:dyDescent="0.3">
      <c r="A103" s="7" t="s">
        <v>102</v>
      </c>
      <c r="B103" s="3">
        <v>4217257</v>
      </c>
      <c r="C103" s="3">
        <v>207056</v>
      </c>
      <c r="D103" s="4">
        <v>29044594.18999999</v>
      </c>
      <c r="E103" s="5">
        <f t="shared" si="3"/>
        <v>6.8870818615038143</v>
      </c>
      <c r="F103" s="9">
        <v>1</v>
      </c>
      <c r="G103" s="6">
        <v>0.1</v>
      </c>
      <c r="H103" s="6">
        <v>0.1</v>
      </c>
      <c r="I103" s="9">
        <v>0</v>
      </c>
    </row>
    <row r="104" spans="1:9" x14ac:dyDescent="0.3">
      <c r="A104" s="7" t="s">
        <v>103</v>
      </c>
      <c r="B104" s="3">
        <v>3684987</v>
      </c>
      <c r="C104" s="3">
        <v>166118</v>
      </c>
      <c r="D104" s="4">
        <v>25852185.759999987</v>
      </c>
      <c r="E104" s="5">
        <f t="shared" si="3"/>
        <v>7.0155432732869851</v>
      </c>
      <c r="F104" s="9">
        <v>1</v>
      </c>
      <c r="G104" s="6">
        <v>-0.1</v>
      </c>
      <c r="H104" s="6">
        <v>0.3</v>
      </c>
      <c r="I104" s="9">
        <v>0</v>
      </c>
    </row>
    <row r="105" spans="1:9" x14ac:dyDescent="0.3">
      <c r="A105" s="7" t="s">
        <v>104</v>
      </c>
      <c r="B105" s="3">
        <v>4939231</v>
      </c>
      <c r="C105" s="3">
        <v>177996</v>
      </c>
      <c r="D105" s="4">
        <v>35146344.030000016</v>
      </c>
      <c r="E105" s="5">
        <f t="shared" si="3"/>
        <v>7.1157522355200671</v>
      </c>
      <c r="F105" s="9">
        <v>1</v>
      </c>
      <c r="G105" s="6">
        <v>0.3</v>
      </c>
      <c r="H105" s="6">
        <v>0.7</v>
      </c>
      <c r="I105" s="9">
        <v>0</v>
      </c>
    </row>
    <row r="106" spans="1:9" x14ac:dyDescent="0.3">
      <c r="A106" s="7" t="s">
        <v>105</v>
      </c>
      <c r="B106" s="3">
        <v>6266158</v>
      </c>
      <c r="C106" s="3">
        <v>249952</v>
      </c>
      <c r="D106" s="4">
        <v>45187233.700000033</v>
      </c>
      <c r="E106" s="5">
        <f t="shared" si="3"/>
        <v>7.2113141258168136</v>
      </c>
      <c r="F106" s="9">
        <v>1</v>
      </c>
      <c r="G106" s="6">
        <v>-0.4</v>
      </c>
      <c r="H106" s="6">
        <v>-0.6</v>
      </c>
      <c r="I106" s="9">
        <v>0</v>
      </c>
    </row>
    <row r="107" spans="1:9" x14ac:dyDescent="0.3">
      <c r="A107" s="7" t="s">
        <v>106</v>
      </c>
      <c r="B107" s="3">
        <v>7557585</v>
      </c>
      <c r="C107" s="3">
        <v>267461</v>
      </c>
      <c r="D107" s="4">
        <v>53446086.369999968</v>
      </c>
      <c r="E107" s="5">
        <f t="shared" si="3"/>
        <v>7.0718472064819604</v>
      </c>
      <c r="F107" s="9">
        <v>1</v>
      </c>
      <c r="G107" s="6">
        <v>0.1</v>
      </c>
      <c r="H107" s="6">
        <v>0.1</v>
      </c>
      <c r="I107" s="9">
        <v>0</v>
      </c>
    </row>
    <row r="108" spans="1:9" x14ac:dyDescent="0.3">
      <c r="A108" s="7" t="s">
        <v>107</v>
      </c>
      <c r="B108" s="3">
        <v>11703676</v>
      </c>
      <c r="C108" s="3">
        <v>276370</v>
      </c>
      <c r="D108" s="4">
        <v>81334718.050000027</v>
      </c>
      <c r="E108" s="5">
        <f t="shared" si="3"/>
        <v>6.949501853092996</v>
      </c>
      <c r="F108" s="9">
        <v>1</v>
      </c>
      <c r="G108" s="6">
        <v>-0.2</v>
      </c>
      <c r="H108" s="6">
        <v>-0.4</v>
      </c>
      <c r="I108" s="9">
        <v>0</v>
      </c>
    </row>
    <row r="109" spans="1:9" x14ac:dyDescent="0.3">
      <c r="A109" s="7" t="s">
        <v>108</v>
      </c>
      <c r="B109" s="3">
        <v>11859581</v>
      </c>
      <c r="C109" s="3">
        <v>297785</v>
      </c>
      <c r="D109" s="4">
        <v>85572637.820000023</v>
      </c>
      <c r="E109" s="5">
        <f t="shared" si="3"/>
        <v>7.2154857595727897</v>
      </c>
      <c r="F109" s="9">
        <v>1</v>
      </c>
      <c r="G109" s="6">
        <v>0</v>
      </c>
      <c r="H109" s="6">
        <v>0.4</v>
      </c>
      <c r="I109" s="9">
        <v>0</v>
      </c>
    </row>
    <row r="110" spans="1:9" x14ac:dyDescent="0.3">
      <c r="A110" s="7" t="s">
        <v>109</v>
      </c>
      <c r="B110" s="3">
        <v>14349927</v>
      </c>
      <c r="C110" s="3">
        <v>299512</v>
      </c>
      <c r="D110" s="4">
        <v>112105585.10999997</v>
      </c>
      <c r="E110" s="5">
        <f t="shared" si="3"/>
        <v>7.8122756380572511</v>
      </c>
      <c r="F110" s="9">
        <v>1</v>
      </c>
      <c r="G110" s="6">
        <v>-0.5</v>
      </c>
      <c r="H110" s="6">
        <v>-0.6</v>
      </c>
      <c r="I110" s="9">
        <v>0</v>
      </c>
    </row>
    <row r="111" spans="1:9" x14ac:dyDescent="0.3">
      <c r="A111" s="7" t="s">
        <v>110</v>
      </c>
      <c r="B111" s="3">
        <v>10298260</v>
      </c>
      <c r="C111" s="3">
        <v>259119</v>
      </c>
      <c r="D111" s="4">
        <v>74003147.670000002</v>
      </c>
      <c r="E111" s="5">
        <f t="shared" si="3"/>
        <v>7.1859855616385682</v>
      </c>
      <c r="F111" s="9">
        <v>2</v>
      </c>
      <c r="G111" s="6">
        <v>0.4</v>
      </c>
      <c r="H111" s="6">
        <v>0.4</v>
      </c>
      <c r="I111" s="9">
        <v>0</v>
      </c>
    </row>
    <row r="112" spans="1:9" x14ac:dyDescent="0.3">
      <c r="A112" s="7" t="s">
        <v>111</v>
      </c>
      <c r="B112" s="3">
        <v>9713893</v>
      </c>
      <c r="C112" s="3">
        <v>286608</v>
      </c>
      <c r="D112" s="4">
        <v>66721711.399999969</v>
      </c>
      <c r="E112" s="5">
        <f t="shared" si="3"/>
        <v>6.8686891445067362</v>
      </c>
      <c r="F112" s="9">
        <v>1</v>
      </c>
      <c r="G112" s="6">
        <v>0.2</v>
      </c>
      <c r="H112" s="6">
        <v>-0.5</v>
      </c>
      <c r="I112" s="9">
        <v>0</v>
      </c>
    </row>
    <row r="113" spans="1:9" x14ac:dyDescent="0.3">
      <c r="A113" s="7" t="s">
        <v>112</v>
      </c>
      <c r="B113" s="3">
        <v>9347412</v>
      </c>
      <c r="C113" s="3">
        <v>265683</v>
      </c>
      <c r="D113" s="4">
        <v>69787306.559999987</v>
      </c>
      <c r="E113" s="5">
        <f t="shared" si="3"/>
        <v>7.4659495655054027</v>
      </c>
      <c r="F113" s="9">
        <v>2</v>
      </c>
      <c r="G113" s="6">
        <v>0.1</v>
      </c>
      <c r="H113" s="6">
        <v>0.6</v>
      </c>
      <c r="I113" s="9">
        <v>0</v>
      </c>
    </row>
    <row r="114" spans="1:9" x14ac:dyDescent="0.3">
      <c r="A114" s="7" t="s">
        <v>113</v>
      </c>
      <c r="B114" s="3">
        <v>5781282</v>
      </c>
      <c r="C114" s="3">
        <v>252731</v>
      </c>
      <c r="D114" s="4">
        <v>40447678.649999999</v>
      </c>
      <c r="E114" s="5">
        <f t="shared" si="3"/>
        <v>6.9963165003886676</v>
      </c>
      <c r="F114" s="9">
        <v>1</v>
      </c>
      <c r="G114" s="6">
        <v>0.1</v>
      </c>
      <c r="H114" s="6">
        <v>-0.4</v>
      </c>
      <c r="I114" s="9">
        <v>0</v>
      </c>
    </row>
    <row r="115" spans="1:9" x14ac:dyDescent="0.3">
      <c r="A115" s="7" t="s">
        <v>114</v>
      </c>
      <c r="B115" s="3">
        <v>5239952</v>
      </c>
      <c r="C115" s="3">
        <v>221462</v>
      </c>
      <c r="D115" s="4">
        <v>38957730.259999998</v>
      </c>
      <c r="E115" s="5">
        <f t="shared" si="3"/>
        <v>7.4347494519033761</v>
      </c>
      <c r="F115" s="9">
        <v>2</v>
      </c>
      <c r="G115" s="6">
        <v>0.1</v>
      </c>
      <c r="H115" s="6">
        <v>0.4</v>
      </c>
      <c r="I115" s="9">
        <v>0</v>
      </c>
    </row>
    <row r="116" spans="1:9" x14ac:dyDescent="0.3">
      <c r="A116" s="7" t="s">
        <v>115</v>
      </c>
      <c r="B116" s="3">
        <v>3530720</v>
      </c>
      <c r="C116" s="3">
        <v>187829</v>
      </c>
      <c r="D116" s="4">
        <v>24428014.980000019</v>
      </c>
      <c r="E116" s="5">
        <f t="shared" si="3"/>
        <v>6.918706377169535</v>
      </c>
      <c r="F116" s="9">
        <v>2</v>
      </c>
      <c r="G116" s="6">
        <v>-0.1</v>
      </c>
      <c r="H116" s="6">
        <v>1.1000000000000001</v>
      </c>
      <c r="I116" s="9">
        <v>0</v>
      </c>
    </row>
    <row r="117" spans="1:9" x14ac:dyDescent="0.3">
      <c r="A117" s="7" t="s">
        <v>116</v>
      </c>
      <c r="B117" s="3">
        <v>5653360</v>
      </c>
      <c r="C117" s="3">
        <v>193405</v>
      </c>
      <c r="D117" s="4">
        <v>40462682.199999973</v>
      </c>
      <c r="E117" s="5">
        <f t="shared" si="3"/>
        <v>7.157280307640054</v>
      </c>
      <c r="F117" s="9">
        <v>2</v>
      </c>
      <c r="G117" s="6">
        <v>0.2</v>
      </c>
      <c r="H117" s="6">
        <v>0.3</v>
      </c>
      <c r="I117" s="9">
        <v>0</v>
      </c>
    </row>
    <row r="118" spans="1:9" x14ac:dyDescent="0.3">
      <c r="A118" s="7" t="s">
        <v>117</v>
      </c>
      <c r="B118" s="3">
        <v>8909437</v>
      </c>
      <c r="C118" s="3">
        <v>259110</v>
      </c>
      <c r="D118" s="4">
        <v>66024253.36999999</v>
      </c>
      <c r="E118" s="5">
        <f t="shared" si="3"/>
        <v>7.4105977033116668</v>
      </c>
      <c r="F118" s="9">
        <v>4</v>
      </c>
      <c r="G118" s="6">
        <v>-0.4</v>
      </c>
      <c r="H118" s="6">
        <v>-1.4</v>
      </c>
      <c r="I118" s="9">
        <v>0</v>
      </c>
    </row>
    <row r="119" spans="1:9" x14ac:dyDescent="0.3">
      <c r="A119" s="7" t="s">
        <v>118</v>
      </c>
      <c r="B119" s="3">
        <v>11253640</v>
      </c>
      <c r="C119" s="3">
        <v>283684</v>
      </c>
      <c r="D119" s="4">
        <v>75041083.61999999</v>
      </c>
      <c r="E119" s="5">
        <f t="shared" si="3"/>
        <v>6.6681610234555206</v>
      </c>
      <c r="F119" s="9">
        <v>16</v>
      </c>
      <c r="G119" s="6">
        <v>0.2</v>
      </c>
      <c r="H119" s="6">
        <v>0.3</v>
      </c>
      <c r="I119" s="9">
        <v>0</v>
      </c>
    </row>
    <row r="120" spans="1:9" x14ac:dyDescent="0.3">
      <c r="A120" s="7" t="s">
        <v>119</v>
      </c>
      <c r="B120" s="3">
        <v>10254698</v>
      </c>
      <c r="C120" s="3">
        <v>275959</v>
      </c>
      <c r="D120" s="4">
        <v>68353983.49999997</v>
      </c>
      <c r="E120" s="5">
        <f t="shared" si="3"/>
        <v>6.6656261842133206</v>
      </c>
      <c r="F120" s="9">
        <v>15</v>
      </c>
      <c r="G120" s="6">
        <v>-0.2</v>
      </c>
      <c r="H120" s="6">
        <v>-0.4</v>
      </c>
      <c r="I120" s="9">
        <v>0</v>
      </c>
    </row>
    <row r="121" spans="1:9" x14ac:dyDescent="0.3">
      <c r="A121" s="7" t="s">
        <v>120</v>
      </c>
      <c r="B121" s="3">
        <v>12683945</v>
      </c>
      <c r="C121" s="3">
        <v>311249</v>
      </c>
      <c r="D121" s="4">
        <v>93899646.760000065</v>
      </c>
      <c r="E121" s="5">
        <f t="shared" si="3"/>
        <v>7.4030316876965383</v>
      </c>
      <c r="F121" s="9">
        <v>15</v>
      </c>
      <c r="G121" s="6">
        <v>0</v>
      </c>
      <c r="H121" s="6">
        <v>0.9</v>
      </c>
      <c r="I121" s="9">
        <v>0</v>
      </c>
    </row>
    <row r="122" spans="1:9" x14ac:dyDescent="0.3">
      <c r="A122" s="7" t="s">
        <v>121</v>
      </c>
      <c r="B122" s="3">
        <v>21599220</v>
      </c>
      <c r="C122" s="3">
        <v>327722</v>
      </c>
      <c r="D122" s="4">
        <v>169690219.00999945</v>
      </c>
      <c r="E122" s="5">
        <f t="shared" si="3"/>
        <v>7.8563123580388297</v>
      </c>
      <c r="F122" s="9">
        <v>13</v>
      </c>
      <c r="G122" s="6">
        <v>-0.2</v>
      </c>
      <c r="H122" s="6">
        <v>0.2</v>
      </c>
      <c r="I122" s="9">
        <v>0</v>
      </c>
    </row>
    <row r="123" spans="1:9" x14ac:dyDescent="0.3">
      <c r="A123" s="7" t="s">
        <v>122</v>
      </c>
      <c r="B123" s="3">
        <v>10947458</v>
      </c>
      <c r="C123" s="3">
        <v>270037</v>
      </c>
      <c r="D123" s="4">
        <v>78417498.970000356</v>
      </c>
      <c r="E123" s="5">
        <f t="shared" si="3"/>
        <v>7.1630783118784613</v>
      </c>
      <c r="F123" s="9">
        <v>11</v>
      </c>
      <c r="G123" s="6">
        <v>-0.2</v>
      </c>
      <c r="H123" s="6">
        <v>0</v>
      </c>
      <c r="I123" s="9">
        <v>0</v>
      </c>
    </row>
    <row r="124" spans="1:9" x14ac:dyDescent="0.3">
      <c r="A124" s="7" t="s">
        <v>123</v>
      </c>
      <c r="B124" s="3">
        <v>9918284</v>
      </c>
      <c r="C124" s="3">
        <v>294005</v>
      </c>
      <c r="D124" s="4">
        <v>71040055.570000678</v>
      </c>
      <c r="E124" s="5">
        <f t="shared" si="3"/>
        <v>7.1625349274129153</v>
      </c>
      <c r="F124" s="9">
        <v>11</v>
      </c>
      <c r="G124" s="6">
        <v>0.2</v>
      </c>
      <c r="H124" s="6">
        <v>-0.3</v>
      </c>
      <c r="I124" s="9">
        <v>0</v>
      </c>
    </row>
    <row r="125" spans="1:9" x14ac:dyDescent="0.3">
      <c r="A125" s="7" t="s">
        <v>124</v>
      </c>
      <c r="B125" s="3">
        <v>8123308</v>
      </c>
      <c r="C125" s="3">
        <v>278713</v>
      </c>
      <c r="D125" s="4">
        <v>54983930.810000539</v>
      </c>
      <c r="E125" s="5">
        <f t="shared" si="3"/>
        <v>6.768662570716331</v>
      </c>
      <c r="F125" s="9">
        <v>9</v>
      </c>
      <c r="G125" s="6">
        <v>-0.1</v>
      </c>
      <c r="H125" s="6">
        <v>-0.2</v>
      </c>
      <c r="I125" s="9">
        <v>0</v>
      </c>
    </row>
    <row r="126" spans="1:9" x14ac:dyDescent="0.3">
      <c r="A126" s="7" t="s">
        <v>125</v>
      </c>
      <c r="B126" s="3">
        <v>7045503</v>
      </c>
      <c r="C126" s="3">
        <v>262640</v>
      </c>
      <c r="D126" s="4">
        <v>50814819.500000581</v>
      </c>
      <c r="E126" s="5">
        <f t="shared" si="3"/>
        <v>7.2123763910114835</v>
      </c>
      <c r="F126" s="9">
        <v>8</v>
      </c>
      <c r="G126" s="6">
        <v>0.2</v>
      </c>
      <c r="H126" s="6">
        <v>-0.3</v>
      </c>
      <c r="I126" s="9">
        <v>0</v>
      </c>
    </row>
    <row r="127" spans="1:9" x14ac:dyDescent="0.3">
      <c r="A127" s="7" t="s">
        <v>126</v>
      </c>
      <c r="B127" s="3">
        <v>5063623</v>
      </c>
      <c r="C127" s="3">
        <v>231943</v>
      </c>
      <c r="D127" s="4">
        <v>36040494.980000056</v>
      </c>
      <c r="E127" s="5">
        <f t="shared" si="3"/>
        <v>7.1175312577575491</v>
      </c>
      <c r="F127" s="9">
        <v>9</v>
      </c>
      <c r="G127" s="6">
        <v>0.2</v>
      </c>
      <c r="H127" s="6">
        <v>0</v>
      </c>
      <c r="I127" s="9">
        <v>0</v>
      </c>
    </row>
    <row r="128" spans="1:9" x14ac:dyDescent="0.3">
      <c r="A128" s="7" t="s">
        <v>127</v>
      </c>
      <c r="B128" s="3">
        <v>3713665</v>
      </c>
      <c r="C128" s="3">
        <v>193458</v>
      </c>
      <c r="D128" s="4">
        <v>26645909.889999837</v>
      </c>
      <c r="E128" s="5">
        <f t="shared" si="3"/>
        <v>7.1750978857812528</v>
      </c>
      <c r="F128" s="9">
        <v>9</v>
      </c>
      <c r="G128" s="6">
        <v>0.1</v>
      </c>
      <c r="H128" s="6">
        <v>1.2</v>
      </c>
      <c r="I128" s="9">
        <v>0</v>
      </c>
    </row>
    <row r="129" spans="1:9" x14ac:dyDescent="0.3">
      <c r="A129" s="7" t="s">
        <v>128</v>
      </c>
      <c r="B129" s="3">
        <v>5558985</v>
      </c>
      <c r="C129" s="3">
        <v>192708</v>
      </c>
      <c r="D129" s="4">
        <v>40057198.080000132</v>
      </c>
      <c r="E129" s="5">
        <f t="shared" si="3"/>
        <v>7.2058474847476894</v>
      </c>
      <c r="F129" s="9">
        <v>10</v>
      </c>
      <c r="G129" s="6">
        <v>0.2</v>
      </c>
      <c r="H129" s="6">
        <v>0.3</v>
      </c>
      <c r="I129" s="9">
        <v>0</v>
      </c>
    </row>
    <row r="130" spans="1:9" x14ac:dyDescent="0.3">
      <c r="A130" s="7" t="s">
        <v>129</v>
      </c>
      <c r="B130" s="3">
        <v>7956561</v>
      </c>
      <c r="C130" s="3">
        <v>262104</v>
      </c>
      <c r="D130" s="4">
        <v>57449216.750000738</v>
      </c>
      <c r="E130" s="5">
        <f t="shared" ref="E130:E161" si="4">D130/B130</f>
        <v>7.2203577336993634</v>
      </c>
      <c r="F130" s="9">
        <v>13</v>
      </c>
      <c r="G130" s="6">
        <v>-0.2</v>
      </c>
      <c r="H130" s="6">
        <v>-1.3</v>
      </c>
      <c r="I130" s="9">
        <v>0</v>
      </c>
    </row>
    <row r="131" spans="1:9" x14ac:dyDescent="0.3">
      <c r="A131" s="7" t="s">
        <v>130</v>
      </c>
      <c r="B131" s="3">
        <v>10765973</v>
      </c>
      <c r="C131" s="3">
        <v>302853</v>
      </c>
      <c r="D131" s="4">
        <v>76652481.000000954</v>
      </c>
      <c r="E131" s="5">
        <f t="shared" si="4"/>
        <v>7.1198841943966382</v>
      </c>
      <c r="F131" s="9">
        <v>16</v>
      </c>
      <c r="G131" s="6">
        <v>0</v>
      </c>
      <c r="H131" s="6">
        <v>0</v>
      </c>
      <c r="I131" s="9">
        <v>0</v>
      </c>
    </row>
    <row r="132" spans="1:9" x14ac:dyDescent="0.3">
      <c r="A132" s="7" t="s">
        <v>131</v>
      </c>
      <c r="B132" s="3">
        <v>12091357</v>
      </c>
      <c r="C132" s="3">
        <v>290388</v>
      </c>
      <c r="D132" s="4">
        <v>68113789.990000755</v>
      </c>
      <c r="E132" s="5">
        <f t="shared" si="4"/>
        <v>5.6332626677055977</v>
      </c>
      <c r="F132" s="9">
        <v>18</v>
      </c>
      <c r="G132" s="6">
        <v>-0.1</v>
      </c>
      <c r="H132" s="6">
        <v>-0.3</v>
      </c>
      <c r="I132" s="9">
        <v>0</v>
      </c>
    </row>
    <row r="133" spans="1:9" x14ac:dyDescent="0.3">
      <c r="A133" s="7" t="s">
        <v>132</v>
      </c>
      <c r="B133" s="3">
        <v>11444640</v>
      </c>
      <c r="C133" s="3">
        <v>320386</v>
      </c>
      <c r="D133" s="4">
        <v>80398629.270000666</v>
      </c>
      <c r="E133" s="5">
        <f t="shared" si="4"/>
        <v>7.0250029070377629</v>
      </c>
      <c r="F133" s="9">
        <v>21</v>
      </c>
      <c r="G133" s="6">
        <v>0.4</v>
      </c>
      <c r="H133" s="6">
        <v>1.1000000000000001</v>
      </c>
      <c r="I133" s="9">
        <v>0</v>
      </c>
    </row>
    <row r="134" spans="1:9" x14ac:dyDescent="0.3">
      <c r="A134" s="7" t="s">
        <v>133</v>
      </c>
      <c r="B134" s="3">
        <v>15235210</v>
      </c>
      <c r="C134" s="3">
        <v>322179</v>
      </c>
      <c r="D134" s="4">
        <v>116254594.21000001</v>
      </c>
      <c r="E134" s="5">
        <f t="shared" si="4"/>
        <v>7.6306525614021732</v>
      </c>
      <c r="F134" s="9">
        <v>22</v>
      </c>
      <c r="G134" s="6">
        <v>0.2</v>
      </c>
      <c r="H134" s="6">
        <v>-0.7</v>
      </c>
      <c r="I134" s="9">
        <v>0</v>
      </c>
    </row>
    <row r="135" spans="1:9" x14ac:dyDescent="0.3">
      <c r="A135" s="7" t="s">
        <v>134</v>
      </c>
      <c r="B135" s="3">
        <v>10705852</v>
      </c>
      <c r="C135" s="3">
        <v>270153</v>
      </c>
      <c r="D135" s="4">
        <v>72918283.50999999</v>
      </c>
      <c r="E135" s="5">
        <f t="shared" si="4"/>
        <v>6.8110677702251063</v>
      </c>
      <c r="F135" s="9">
        <v>18</v>
      </c>
      <c r="G135" s="6">
        <v>0.4</v>
      </c>
      <c r="H135" s="6">
        <v>0.3</v>
      </c>
      <c r="I135" s="9">
        <v>0</v>
      </c>
    </row>
    <row r="136" spans="1:9" x14ac:dyDescent="0.3">
      <c r="A136" s="7" t="s">
        <v>135</v>
      </c>
      <c r="B136" s="3">
        <v>10214190</v>
      </c>
      <c r="C136" s="3">
        <v>289135</v>
      </c>
      <c r="D136" s="4">
        <v>69763926.989999935</v>
      </c>
      <c r="E136" s="5">
        <f t="shared" si="4"/>
        <v>6.8300988125343212</v>
      </c>
      <c r="F136" s="9">
        <v>17</v>
      </c>
      <c r="G136" s="6">
        <v>0</v>
      </c>
      <c r="H136" s="6">
        <v>0.1</v>
      </c>
      <c r="I136" s="9">
        <v>0</v>
      </c>
    </row>
    <row r="137" spans="1:9" x14ac:dyDescent="0.3">
      <c r="A137" s="7" t="s">
        <v>136</v>
      </c>
      <c r="B137" s="3">
        <v>9064003</v>
      </c>
      <c r="C137" s="3">
        <v>287909</v>
      </c>
      <c r="D137" s="4">
        <v>66515670.800000064</v>
      </c>
      <c r="E137" s="5">
        <f t="shared" si="4"/>
        <v>7.3384431580616276</v>
      </c>
      <c r="F137" s="9">
        <v>21</v>
      </c>
      <c r="G137" s="6">
        <v>0.3</v>
      </c>
      <c r="H137" s="6">
        <v>-0.3</v>
      </c>
      <c r="I137" s="9">
        <v>0</v>
      </c>
    </row>
    <row r="138" spans="1:9" x14ac:dyDescent="0.3">
      <c r="A138" s="7" t="s">
        <v>137</v>
      </c>
      <c r="B138" s="3">
        <v>5887317</v>
      </c>
      <c r="C138" s="3">
        <v>260031</v>
      </c>
      <c r="D138" s="4">
        <v>41196257.560000092</v>
      </c>
      <c r="E138" s="5">
        <f t="shared" si="4"/>
        <v>6.9974586997778605</v>
      </c>
      <c r="F138" s="9">
        <v>20</v>
      </c>
      <c r="G138" s="6">
        <v>-0.2</v>
      </c>
      <c r="H138" s="6">
        <v>-0.1</v>
      </c>
      <c r="I138" s="9">
        <v>0</v>
      </c>
    </row>
    <row r="139" spans="1:9" x14ac:dyDescent="0.3">
      <c r="A139" s="7" t="s">
        <v>138</v>
      </c>
      <c r="B139" s="3">
        <v>4158878</v>
      </c>
      <c r="C139" s="3">
        <v>214774</v>
      </c>
      <c r="D139" s="4">
        <v>31895455.310000006</v>
      </c>
      <c r="E139" s="5">
        <f t="shared" si="4"/>
        <v>7.6692452411443677</v>
      </c>
      <c r="F139" s="9">
        <v>18</v>
      </c>
      <c r="G139" s="6">
        <v>-0.1</v>
      </c>
      <c r="H139" s="6">
        <v>-0.2</v>
      </c>
      <c r="I139" s="9">
        <v>0</v>
      </c>
    </row>
    <row r="140" spans="1:9" x14ac:dyDescent="0.3">
      <c r="A140" s="7" t="s">
        <v>139</v>
      </c>
      <c r="B140" s="3">
        <v>3689381</v>
      </c>
      <c r="C140" s="3">
        <v>180817</v>
      </c>
      <c r="D140" s="4">
        <v>27823257.740000013</v>
      </c>
      <c r="E140" s="5">
        <f t="shared" si="4"/>
        <v>7.5414433315507434</v>
      </c>
      <c r="F140" s="9">
        <v>20</v>
      </c>
      <c r="G140" s="6">
        <v>0.1</v>
      </c>
      <c r="H140" s="6">
        <v>1.3</v>
      </c>
      <c r="I140" s="9">
        <v>0</v>
      </c>
    </row>
    <row r="141" spans="1:9" x14ac:dyDescent="0.3">
      <c r="A141" s="7" t="s">
        <v>140</v>
      </c>
      <c r="B141" s="3">
        <v>4408359</v>
      </c>
      <c r="C141" s="3">
        <v>176611</v>
      </c>
      <c r="D141" s="4">
        <v>31562033.29000001</v>
      </c>
      <c r="E141" s="5">
        <f t="shared" si="4"/>
        <v>7.1595877944604807</v>
      </c>
      <c r="F141" s="9">
        <v>23</v>
      </c>
      <c r="G141" s="6">
        <v>0.3</v>
      </c>
      <c r="H141" s="6">
        <v>0.8</v>
      </c>
      <c r="I141" s="9">
        <v>0</v>
      </c>
    </row>
    <row r="142" spans="1:9" x14ac:dyDescent="0.3">
      <c r="A142" s="7" t="s">
        <v>141</v>
      </c>
      <c r="B142" s="3">
        <v>7546528</v>
      </c>
      <c r="C142" s="3">
        <v>265497</v>
      </c>
      <c r="D142" s="4">
        <v>59674779.150000028</v>
      </c>
      <c r="E142" s="5">
        <f t="shared" si="4"/>
        <v>7.9075806980375649</v>
      </c>
      <c r="F142" s="9">
        <v>27</v>
      </c>
      <c r="G142" s="6">
        <v>-0.3</v>
      </c>
      <c r="H142" s="6">
        <v>-1.7</v>
      </c>
      <c r="I142" s="9">
        <v>0</v>
      </c>
    </row>
    <row r="143" spans="1:9" x14ac:dyDescent="0.3">
      <c r="A143" s="7" t="s">
        <v>142</v>
      </c>
      <c r="B143" s="3">
        <v>8462341</v>
      </c>
      <c r="C143" s="3">
        <v>277723</v>
      </c>
      <c r="D143" s="4">
        <v>65531578.23999998</v>
      </c>
      <c r="E143" s="5">
        <f t="shared" si="4"/>
        <v>7.7439065903867474</v>
      </c>
      <c r="F143" s="9">
        <v>29</v>
      </c>
      <c r="G143" s="6">
        <v>-0.1</v>
      </c>
      <c r="H143" s="6">
        <v>-0.1</v>
      </c>
      <c r="I143" s="9">
        <v>0</v>
      </c>
    </row>
    <row r="144" spans="1:9" x14ac:dyDescent="0.3">
      <c r="A144" s="7" t="s">
        <v>143</v>
      </c>
      <c r="B144" s="3">
        <v>9200655</v>
      </c>
      <c r="C144" s="3">
        <v>286399</v>
      </c>
      <c r="D144" s="4">
        <v>61044672.210000031</v>
      </c>
      <c r="E144" s="5">
        <f t="shared" si="4"/>
        <v>6.6348180874079103</v>
      </c>
      <c r="F144" s="9">
        <v>32</v>
      </c>
      <c r="G144" s="6">
        <v>-0.1</v>
      </c>
      <c r="H144" s="6">
        <v>-0.2</v>
      </c>
      <c r="I144" s="9">
        <v>0</v>
      </c>
    </row>
    <row r="145" spans="1:9" x14ac:dyDescent="0.3">
      <c r="A145" s="7" t="s">
        <v>144</v>
      </c>
      <c r="B145" s="3">
        <v>11590915</v>
      </c>
      <c r="C145" s="3">
        <v>311562</v>
      </c>
      <c r="D145" s="4">
        <v>88709095.669999987</v>
      </c>
      <c r="E145" s="5">
        <f t="shared" si="4"/>
        <v>7.6533298423808631</v>
      </c>
      <c r="F145" s="9">
        <v>36</v>
      </c>
      <c r="G145" s="6">
        <v>0.3</v>
      </c>
      <c r="H145" s="6">
        <v>1.1000000000000001</v>
      </c>
      <c r="I145" s="9">
        <v>0</v>
      </c>
    </row>
    <row r="146" spans="1:9" x14ac:dyDescent="0.3">
      <c r="A146" s="7" t="s">
        <v>145</v>
      </c>
      <c r="B146" s="3">
        <v>12862039</v>
      </c>
      <c r="C146" s="3">
        <v>319556</v>
      </c>
      <c r="D146" s="4">
        <v>99527809.399999902</v>
      </c>
      <c r="E146" s="5">
        <f t="shared" si="4"/>
        <v>7.7381050858265867</v>
      </c>
      <c r="F146" s="9">
        <v>38</v>
      </c>
      <c r="G146" s="6">
        <v>0.3</v>
      </c>
      <c r="H146" s="6">
        <v>0.3</v>
      </c>
      <c r="I146" s="9">
        <v>0</v>
      </c>
    </row>
    <row r="147" spans="1:9" x14ac:dyDescent="0.3">
      <c r="A147" s="7" t="s">
        <v>146</v>
      </c>
      <c r="B147" s="3">
        <v>10633443</v>
      </c>
      <c r="C147" s="3">
        <v>279211</v>
      </c>
      <c r="D147" s="4">
        <v>78156505.449999973</v>
      </c>
      <c r="E147" s="5">
        <f t="shared" si="4"/>
        <v>7.3500657736163131</v>
      </c>
      <c r="F147" s="9">
        <v>32</v>
      </c>
      <c r="G147" s="6">
        <v>0</v>
      </c>
      <c r="H147" s="6">
        <v>0.2</v>
      </c>
      <c r="I147" s="9">
        <v>0</v>
      </c>
    </row>
    <row r="148" spans="1:9" x14ac:dyDescent="0.3">
      <c r="A148" s="7" t="s">
        <v>147</v>
      </c>
      <c r="B148" s="3">
        <v>8446474</v>
      </c>
      <c r="C148" s="3">
        <v>302038</v>
      </c>
      <c r="D148" s="4">
        <v>60683989.140000001</v>
      </c>
      <c r="E148" s="5">
        <f t="shared" si="4"/>
        <v>7.184535125544695</v>
      </c>
      <c r="F148" s="9">
        <v>31</v>
      </c>
      <c r="G148" s="6">
        <v>0.3</v>
      </c>
      <c r="H148" s="6">
        <v>-0.5</v>
      </c>
      <c r="I148" s="9">
        <v>0</v>
      </c>
    </row>
    <row r="149" spans="1:9" x14ac:dyDescent="0.3">
      <c r="A149" s="7" t="s">
        <v>148</v>
      </c>
      <c r="B149" s="3">
        <v>7468264</v>
      </c>
      <c r="C149" s="3">
        <v>287672</v>
      </c>
      <c r="D149" s="4">
        <v>52284212.710000023</v>
      </c>
      <c r="E149" s="5">
        <f t="shared" si="4"/>
        <v>7.0008522342006154</v>
      </c>
      <c r="F149" s="9">
        <v>30</v>
      </c>
      <c r="G149" s="6">
        <v>0</v>
      </c>
      <c r="H149" s="6">
        <v>-0.2</v>
      </c>
      <c r="I149" s="9">
        <v>0</v>
      </c>
    </row>
    <row r="150" spans="1:9" x14ac:dyDescent="0.3">
      <c r="A150" s="7" t="s">
        <v>149</v>
      </c>
      <c r="B150" s="3">
        <v>5610811</v>
      </c>
      <c r="C150" s="3">
        <v>262643</v>
      </c>
      <c r="D150" s="4">
        <v>45098825.430000059</v>
      </c>
      <c r="E150" s="5">
        <f t="shared" si="4"/>
        <v>8.0378443383674938</v>
      </c>
      <c r="F150" s="9">
        <v>28</v>
      </c>
      <c r="G150" s="6">
        <v>0.3</v>
      </c>
      <c r="H150" s="6">
        <v>-0.5</v>
      </c>
      <c r="I150" s="9">
        <v>0</v>
      </c>
    </row>
    <row r="151" spans="1:9" x14ac:dyDescent="0.3">
      <c r="A151" s="7" t="s">
        <v>150</v>
      </c>
      <c r="B151" s="3">
        <v>3700670</v>
      </c>
      <c r="C151" s="3">
        <v>212699</v>
      </c>
      <c r="D151" s="4">
        <v>28124127.300000008</v>
      </c>
      <c r="E151" s="5">
        <f t="shared" si="4"/>
        <v>7.5997393174749464</v>
      </c>
      <c r="F151" s="9">
        <v>28</v>
      </c>
      <c r="G151" s="6">
        <v>0.2</v>
      </c>
      <c r="H151" s="6">
        <v>0.1</v>
      </c>
      <c r="I151" s="9">
        <v>0</v>
      </c>
    </row>
    <row r="152" spans="1:9" x14ac:dyDescent="0.3">
      <c r="A152" s="7" t="s">
        <v>151</v>
      </c>
      <c r="B152" s="3">
        <v>3004401</v>
      </c>
      <c r="C152" s="3">
        <v>176592</v>
      </c>
      <c r="D152" s="4">
        <v>19073912.039999984</v>
      </c>
      <c r="E152" s="5">
        <f t="shared" si="4"/>
        <v>6.348657199887759</v>
      </c>
      <c r="F152" s="9">
        <v>25</v>
      </c>
      <c r="G152" s="6">
        <v>0.3</v>
      </c>
      <c r="H152" s="6">
        <v>0.9</v>
      </c>
      <c r="I152" s="9">
        <v>0</v>
      </c>
    </row>
    <row r="153" spans="1:9" x14ac:dyDescent="0.3">
      <c r="A153" s="7" t="s">
        <v>152</v>
      </c>
      <c r="B153" s="3">
        <v>5161916</v>
      </c>
      <c r="C153" s="3">
        <v>187101</v>
      </c>
      <c r="D153" s="4">
        <v>37118997.81000001</v>
      </c>
      <c r="E153" s="5">
        <f t="shared" si="4"/>
        <v>7.1909341047006592</v>
      </c>
      <c r="F153" s="9">
        <v>31</v>
      </c>
      <c r="G153" s="6">
        <v>0.4</v>
      </c>
      <c r="H153" s="6">
        <v>0.9</v>
      </c>
      <c r="I153" s="9">
        <v>0</v>
      </c>
    </row>
    <row r="154" spans="1:9" x14ac:dyDescent="0.3">
      <c r="A154" s="7" t="s">
        <v>153</v>
      </c>
      <c r="B154" s="3">
        <v>6853017</v>
      </c>
      <c r="C154" s="3">
        <v>264158</v>
      </c>
      <c r="D154" s="4">
        <v>52631424.299999967</v>
      </c>
      <c r="E154" s="5">
        <f t="shared" si="4"/>
        <v>7.6800370260280939</v>
      </c>
      <c r="F154" s="9">
        <v>36</v>
      </c>
      <c r="G154" s="6">
        <v>-0.5</v>
      </c>
      <c r="H154" s="6">
        <v>-1.9</v>
      </c>
      <c r="I154" s="9">
        <v>0</v>
      </c>
    </row>
    <row r="155" spans="1:9" x14ac:dyDescent="0.3">
      <c r="A155" s="7" t="s">
        <v>154</v>
      </c>
      <c r="B155" s="3">
        <v>7772845</v>
      </c>
      <c r="C155" s="3">
        <v>281824</v>
      </c>
      <c r="D155" s="4">
        <v>57354454.720000006</v>
      </c>
      <c r="E155" s="5">
        <f t="shared" si="4"/>
        <v>7.3788239338363244</v>
      </c>
      <c r="F155" s="9">
        <v>34</v>
      </c>
      <c r="G155" s="6">
        <v>0</v>
      </c>
      <c r="H155" s="6">
        <v>-0.4</v>
      </c>
      <c r="I155" s="9">
        <v>0</v>
      </c>
    </row>
    <row r="156" spans="1:9" x14ac:dyDescent="0.3">
      <c r="A156" s="7" t="s">
        <v>155</v>
      </c>
      <c r="B156" s="3">
        <v>8701162</v>
      </c>
      <c r="C156" s="3">
        <v>279071</v>
      </c>
      <c r="D156" s="4">
        <v>62379808.1599999</v>
      </c>
      <c r="E156" s="5">
        <f t="shared" si="4"/>
        <v>7.1691353591623628</v>
      </c>
      <c r="F156" s="9">
        <v>34</v>
      </c>
      <c r="G156" s="6">
        <v>-0.2</v>
      </c>
      <c r="H156" s="6">
        <v>-0.7</v>
      </c>
      <c r="I156" s="9">
        <v>0</v>
      </c>
    </row>
    <row r="157" spans="1:9" x14ac:dyDescent="0.3">
      <c r="A157" s="7" t="s">
        <v>156</v>
      </c>
      <c r="B157" s="3">
        <v>11982533</v>
      </c>
      <c r="C157" s="3">
        <v>312125</v>
      </c>
      <c r="D157" s="4">
        <v>89976686.61999996</v>
      </c>
      <c r="E157" s="5">
        <f t="shared" si="4"/>
        <v>7.5089871749153509</v>
      </c>
      <c r="F157" s="9">
        <v>39</v>
      </c>
      <c r="G157" s="6">
        <v>-0.1</v>
      </c>
      <c r="H157" s="6">
        <v>1.5</v>
      </c>
      <c r="I157" s="9">
        <v>0</v>
      </c>
    </row>
    <row r="158" spans="1:9" x14ac:dyDescent="0.3">
      <c r="A158" s="7" t="s">
        <v>157</v>
      </c>
      <c r="B158" s="3">
        <v>12545603</v>
      </c>
      <c r="C158" s="3">
        <v>308748</v>
      </c>
      <c r="D158" s="4">
        <v>100171903.29999997</v>
      </c>
      <c r="E158" s="5">
        <f t="shared" si="4"/>
        <v>7.98462244501121</v>
      </c>
      <c r="F158" s="9">
        <v>46</v>
      </c>
      <c r="G158" s="6">
        <v>0.1</v>
      </c>
      <c r="H158" s="6">
        <v>0.2</v>
      </c>
      <c r="I158" s="9">
        <v>0</v>
      </c>
    </row>
    <row r="159" spans="1:9" x14ac:dyDescent="0.3">
      <c r="A159" s="7" t="s">
        <v>158</v>
      </c>
      <c r="B159" s="3">
        <v>8495887</v>
      </c>
      <c r="C159" s="3">
        <v>272951</v>
      </c>
      <c r="D159" s="4">
        <v>61659419.879999988</v>
      </c>
      <c r="E159" s="5">
        <f t="shared" si="4"/>
        <v>7.257561203438792</v>
      </c>
      <c r="F159" s="9">
        <v>32</v>
      </c>
      <c r="G159" s="6">
        <v>0.1</v>
      </c>
      <c r="H159" s="6">
        <v>0.2</v>
      </c>
      <c r="I159" s="9">
        <v>0</v>
      </c>
    </row>
    <row r="160" spans="1:9" x14ac:dyDescent="0.3">
      <c r="A160" s="7" t="s">
        <v>159</v>
      </c>
      <c r="B160" s="3">
        <v>8092670</v>
      </c>
      <c r="C160" s="3">
        <v>301053</v>
      </c>
      <c r="D160" s="4">
        <v>59014191.740000002</v>
      </c>
      <c r="E160" s="5">
        <f t="shared" si="4"/>
        <v>7.2923017669075847</v>
      </c>
      <c r="F160" s="9">
        <v>31</v>
      </c>
      <c r="G160" s="6">
        <v>0.3</v>
      </c>
      <c r="H160" s="6">
        <v>-0.4</v>
      </c>
      <c r="I160" s="9">
        <v>0</v>
      </c>
    </row>
    <row r="161" spans="1:9" x14ac:dyDescent="0.3">
      <c r="A161" s="7" t="s">
        <v>160</v>
      </c>
      <c r="B161" s="3">
        <v>10326555</v>
      </c>
      <c r="C161" s="3">
        <v>288046</v>
      </c>
      <c r="D161" s="4">
        <v>77990289.280000001</v>
      </c>
      <c r="E161" s="5">
        <f t="shared" si="4"/>
        <v>7.5524014814233791</v>
      </c>
      <c r="F161" s="9">
        <v>32</v>
      </c>
      <c r="G161" s="6">
        <v>0</v>
      </c>
      <c r="H161" s="6">
        <v>-0.2</v>
      </c>
      <c r="I161" s="9">
        <v>0</v>
      </c>
    </row>
    <row r="162" spans="1:9" x14ac:dyDescent="0.3">
      <c r="A162" s="7" t="s">
        <v>161</v>
      </c>
      <c r="B162" s="3">
        <v>7820749</v>
      </c>
      <c r="C162" s="3">
        <v>268636</v>
      </c>
      <c r="D162" s="4">
        <v>59729552.510000013</v>
      </c>
      <c r="E162" s="5">
        <f t="shared" ref="E162:E172" si="5">D162/B162</f>
        <v>7.637318690319816</v>
      </c>
      <c r="F162" s="9">
        <v>29</v>
      </c>
      <c r="G162" s="6">
        <v>0.1</v>
      </c>
      <c r="H162" s="6">
        <v>-0.4</v>
      </c>
      <c r="I162" s="9">
        <v>0</v>
      </c>
    </row>
    <row r="163" spans="1:9" x14ac:dyDescent="0.3">
      <c r="A163" s="7" t="s">
        <v>162</v>
      </c>
      <c r="B163" s="3">
        <v>4303344</v>
      </c>
      <c r="C163" s="3">
        <v>237477</v>
      </c>
      <c r="D163" s="4">
        <v>31849329.549999993</v>
      </c>
      <c r="E163" s="5">
        <f t="shared" si="5"/>
        <v>7.4010652064998741</v>
      </c>
      <c r="F163" s="9">
        <v>31</v>
      </c>
      <c r="G163" s="6">
        <v>0.1</v>
      </c>
      <c r="H163" s="6">
        <v>0</v>
      </c>
      <c r="I163" s="9">
        <v>0</v>
      </c>
    </row>
    <row r="164" spans="1:9" x14ac:dyDescent="0.3">
      <c r="A164" s="7" t="s">
        <v>163</v>
      </c>
      <c r="B164" s="3">
        <v>4932186</v>
      </c>
      <c r="C164" s="3">
        <v>207763</v>
      </c>
      <c r="D164" s="4">
        <v>37861308.359999999</v>
      </c>
      <c r="E164" s="5">
        <f t="shared" si="5"/>
        <v>7.6763748082493235</v>
      </c>
      <c r="F164" s="9">
        <v>35</v>
      </c>
      <c r="G164" s="6">
        <v>0</v>
      </c>
      <c r="H164" s="6">
        <v>0.9</v>
      </c>
      <c r="I164" s="9">
        <v>0</v>
      </c>
    </row>
    <row r="165" spans="1:9" x14ac:dyDescent="0.3">
      <c r="A165" s="7" t="s">
        <v>164</v>
      </c>
      <c r="B165" s="3">
        <v>7081683</v>
      </c>
      <c r="C165" s="3">
        <v>210585</v>
      </c>
      <c r="D165" s="4">
        <v>54350700.960000001</v>
      </c>
      <c r="E165" s="5">
        <f t="shared" si="5"/>
        <v>7.674828280226607</v>
      </c>
      <c r="F165" s="9">
        <v>34</v>
      </c>
      <c r="G165" s="6">
        <v>0.4</v>
      </c>
      <c r="H165" s="6">
        <v>1</v>
      </c>
      <c r="I165" s="9">
        <v>0</v>
      </c>
    </row>
    <row r="166" spans="1:9" x14ac:dyDescent="0.3">
      <c r="A166" s="7" t="s">
        <v>165</v>
      </c>
      <c r="B166" s="3">
        <v>7844389</v>
      </c>
      <c r="C166" s="3">
        <v>252819</v>
      </c>
      <c r="D166" s="4">
        <v>62794563.509999998</v>
      </c>
      <c r="E166" s="5">
        <f t="shared" si="5"/>
        <v>8.0050292648669004</v>
      </c>
      <c r="F166" s="9">
        <v>34</v>
      </c>
      <c r="G166" s="6">
        <v>-0.6</v>
      </c>
      <c r="H166" s="6">
        <v>-1.9</v>
      </c>
      <c r="I166" s="9">
        <v>0</v>
      </c>
    </row>
    <row r="167" spans="1:9" x14ac:dyDescent="0.3">
      <c r="A167" s="7" t="s">
        <v>166</v>
      </c>
      <c r="B167" s="3">
        <v>9660038</v>
      </c>
      <c r="C167" s="3">
        <v>284646</v>
      </c>
      <c r="D167" s="4">
        <v>72910605.820000008</v>
      </c>
      <c r="E167" s="5">
        <f t="shared" si="5"/>
        <v>7.5476520713479607</v>
      </c>
      <c r="F167" s="9">
        <v>35</v>
      </c>
      <c r="G167" s="6">
        <v>-0.1</v>
      </c>
      <c r="H167" s="6">
        <v>-0.8</v>
      </c>
      <c r="I167" s="9">
        <v>0</v>
      </c>
    </row>
    <row r="168" spans="1:9" x14ac:dyDescent="0.3">
      <c r="A168" s="7" t="s">
        <v>167</v>
      </c>
      <c r="B168" s="3">
        <v>9968103</v>
      </c>
      <c r="C168" s="3">
        <v>291507</v>
      </c>
      <c r="D168" s="4">
        <v>70529036.690000027</v>
      </c>
      <c r="E168" s="5">
        <f t="shared" si="5"/>
        <v>7.0754723030048972</v>
      </c>
      <c r="F168" s="9">
        <v>39</v>
      </c>
      <c r="G168" s="6">
        <v>-0.1</v>
      </c>
      <c r="H168" s="6">
        <v>0</v>
      </c>
      <c r="I168" s="9">
        <v>0</v>
      </c>
    </row>
    <row r="169" spans="1:9" x14ac:dyDescent="0.3">
      <c r="A169" s="7" t="s">
        <v>168</v>
      </c>
      <c r="B169" s="3">
        <v>13733380</v>
      </c>
      <c r="C169" s="3">
        <v>321114</v>
      </c>
      <c r="D169" s="4">
        <v>103129044.45999999</v>
      </c>
      <c r="E169" s="5">
        <f t="shared" si="5"/>
        <v>7.5093709239822966</v>
      </c>
      <c r="F169" s="9">
        <v>41</v>
      </c>
      <c r="G169" s="6">
        <v>0.1</v>
      </c>
      <c r="H169" s="6">
        <v>1.3</v>
      </c>
      <c r="I169" s="9">
        <v>0</v>
      </c>
    </row>
    <row r="170" spans="1:9" x14ac:dyDescent="0.3">
      <c r="A170" s="7" t="s">
        <v>169</v>
      </c>
      <c r="B170" s="3">
        <v>16635384</v>
      </c>
      <c r="C170" s="3">
        <v>342511</v>
      </c>
      <c r="D170" s="4">
        <v>121440619.01000008</v>
      </c>
      <c r="E170" s="5">
        <f t="shared" si="5"/>
        <v>7.3001392098914026</v>
      </c>
      <c r="F170" s="9">
        <v>47</v>
      </c>
      <c r="G170" s="6">
        <v>0.2</v>
      </c>
      <c r="H170" s="6">
        <v>-1</v>
      </c>
      <c r="I170" s="9">
        <v>2</v>
      </c>
    </row>
    <row r="171" spans="1:9" x14ac:dyDescent="0.3">
      <c r="A171" s="7" t="s">
        <v>170</v>
      </c>
      <c r="B171" s="3">
        <v>7101280</v>
      </c>
      <c r="C171" s="3">
        <v>251640</v>
      </c>
      <c r="D171" s="4">
        <v>48923544.429999985</v>
      </c>
      <c r="E171" s="5">
        <f t="shared" si="5"/>
        <v>6.8893980282427938</v>
      </c>
      <c r="F171" s="9">
        <v>41</v>
      </c>
      <c r="G171" s="6">
        <v>-0.1</v>
      </c>
      <c r="H171" s="6">
        <v>-0.2</v>
      </c>
      <c r="I171" s="9">
        <v>1743</v>
      </c>
    </row>
    <row r="172" spans="1:9" x14ac:dyDescent="0.3">
      <c r="A172" s="7" t="s">
        <v>171</v>
      </c>
      <c r="B172" s="3">
        <v>218414</v>
      </c>
      <c r="C172" s="3">
        <v>14247</v>
      </c>
      <c r="D172" s="4">
        <v>1440488.9799999997</v>
      </c>
      <c r="E172" s="5">
        <f t="shared" si="5"/>
        <v>6.5952227421319138</v>
      </c>
      <c r="F172" s="9">
        <v>97</v>
      </c>
      <c r="G172" s="6">
        <v>0.1</v>
      </c>
      <c r="H172" s="6">
        <v>0.9</v>
      </c>
      <c r="I172" s="9">
        <v>113915</v>
      </c>
    </row>
    <row r="173" spans="1:9" x14ac:dyDescent="0.3">
      <c r="A173" s="7" t="s">
        <v>172</v>
      </c>
      <c r="B173" s="3">
        <v>0</v>
      </c>
      <c r="C173" s="3">
        <v>0</v>
      </c>
      <c r="D173" s="4">
        <v>325.5</v>
      </c>
      <c r="E173" s="5"/>
      <c r="F173" s="9">
        <v>100</v>
      </c>
      <c r="G173" s="6">
        <v>-0.1</v>
      </c>
      <c r="H173" s="6">
        <v>-0.1</v>
      </c>
      <c r="I173" s="9">
        <v>95259</v>
      </c>
    </row>
    <row r="174" spans="1:9" x14ac:dyDescent="0.3">
      <c r="A174" s="7" t="s">
        <v>173</v>
      </c>
      <c r="B174" s="3">
        <v>0</v>
      </c>
      <c r="C174" s="3">
        <v>0</v>
      </c>
      <c r="D174" s="4">
        <v>198</v>
      </c>
      <c r="E174" s="5"/>
      <c r="F174" s="9">
        <v>66</v>
      </c>
      <c r="G174" s="6">
        <v>-0.2</v>
      </c>
      <c r="H174" s="6">
        <v>-0.5</v>
      </c>
      <c r="I174" s="9">
        <v>22876</v>
      </c>
    </row>
    <row r="175" spans="1:9" x14ac:dyDescent="0.3">
      <c r="A175" s="7" t="s">
        <v>174</v>
      </c>
      <c r="B175" s="3">
        <v>111744</v>
      </c>
      <c r="C175" s="3">
        <v>6944</v>
      </c>
      <c r="D175" s="4">
        <v>685211.22</v>
      </c>
      <c r="E175" s="5">
        <f>D175/B175</f>
        <v>6.1319732603092785</v>
      </c>
      <c r="F175" s="9">
        <v>51</v>
      </c>
      <c r="G175" s="6">
        <v>0.1</v>
      </c>
      <c r="H175" s="6">
        <v>0.9</v>
      </c>
      <c r="I175" s="9">
        <v>7478</v>
      </c>
    </row>
    <row r="176" spans="1:9" x14ac:dyDescent="0.3">
      <c r="A176" s="7" t="s">
        <v>175</v>
      </c>
      <c r="B176" s="3">
        <v>660190</v>
      </c>
      <c r="C176" s="3">
        <v>23934</v>
      </c>
      <c r="D176" s="4">
        <v>3309540.71</v>
      </c>
      <c r="E176" s="5">
        <f>D176/B176</f>
        <v>5.0130124812553962</v>
      </c>
      <c r="F176" s="9">
        <v>41</v>
      </c>
      <c r="G176" s="6">
        <v>-0.1</v>
      </c>
      <c r="H176" s="6">
        <v>0.4</v>
      </c>
      <c r="I176" s="9">
        <v>7671</v>
      </c>
    </row>
    <row r="177" spans="1:9" x14ac:dyDescent="0.3">
      <c r="A177" s="7" t="s">
        <v>176</v>
      </c>
      <c r="B177" s="3">
        <v>1390508</v>
      </c>
      <c r="C177" s="3">
        <v>59427</v>
      </c>
      <c r="D177" s="4">
        <v>7665196.5400000019</v>
      </c>
      <c r="E177" s="5">
        <f>D177/B177</f>
        <v>5.5125152390349443</v>
      </c>
      <c r="F177" s="9">
        <v>45</v>
      </c>
      <c r="G177" s="6">
        <v>0.2</v>
      </c>
      <c r="H177" s="6">
        <v>0.2</v>
      </c>
      <c r="I177" s="9">
        <v>24517</v>
      </c>
    </row>
    <row r="178" spans="1:9" x14ac:dyDescent="0.3">
      <c r="A178" s="7" t="s">
        <v>177</v>
      </c>
      <c r="B178" s="3">
        <v>2445033</v>
      </c>
      <c r="C178" s="3">
        <v>158221</v>
      </c>
      <c r="D178" s="4">
        <v>17362260.849999994</v>
      </c>
      <c r="E178" s="5">
        <f>D178/B178</f>
        <v>7.1010333398363104</v>
      </c>
      <c r="F178" s="9">
        <v>46</v>
      </c>
      <c r="G178" s="6">
        <v>-0.6</v>
      </c>
      <c r="H178" s="6">
        <v>-1.4</v>
      </c>
      <c r="I178" s="9">
        <v>48459</v>
      </c>
    </row>
    <row r="179" spans="1:9" x14ac:dyDescent="0.3">
      <c r="A179" s="7" t="s">
        <v>178</v>
      </c>
      <c r="B179" s="3">
        <v>1808314</v>
      </c>
      <c r="C179" s="3">
        <v>139085</v>
      </c>
      <c r="D179" s="4">
        <v>11266608.920000006</v>
      </c>
      <c r="E179" s="5">
        <f>D179/B179</f>
        <v>6.2304494241597448</v>
      </c>
      <c r="F179" s="9">
        <v>45</v>
      </c>
      <c r="G179" s="6">
        <v>0.2</v>
      </c>
      <c r="H179" s="6">
        <v>-0.1</v>
      </c>
      <c r="I179" s="9">
        <v>456914</v>
      </c>
    </row>
    <row r="180" spans="1:9" x14ac:dyDescent="0.3">
      <c r="A180" s="7" t="s">
        <v>179</v>
      </c>
      <c r="B180" s="3">
        <v>0</v>
      </c>
      <c r="C180" s="3">
        <v>0</v>
      </c>
      <c r="D180" s="4">
        <v>4823.5</v>
      </c>
      <c r="E180" s="5"/>
      <c r="F180" s="9">
        <v>58</v>
      </c>
      <c r="G180" s="6">
        <v>-0.1</v>
      </c>
      <c r="H180" s="6">
        <v>-0.2</v>
      </c>
      <c r="I180" s="9">
        <v>901526</v>
      </c>
    </row>
    <row r="181" spans="1:9" x14ac:dyDescent="0.3">
      <c r="A181" s="7" t="s">
        <v>180</v>
      </c>
      <c r="B181" s="3">
        <v>0</v>
      </c>
      <c r="C181" s="3">
        <v>0</v>
      </c>
      <c r="D181" s="4">
        <v>56332</v>
      </c>
      <c r="E181" s="5"/>
      <c r="F181" s="9">
        <v>69</v>
      </c>
      <c r="G181" s="6">
        <v>0.3</v>
      </c>
      <c r="H181" s="6">
        <v>2</v>
      </c>
      <c r="I181" s="9">
        <v>501939</v>
      </c>
    </row>
    <row r="182" spans="1:9" x14ac:dyDescent="0.3">
      <c r="A182" s="7" t="s">
        <v>181</v>
      </c>
      <c r="B182" s="3">
        <v>0</v>
      </c>
      <c r="C182" s="3">
        <v>0</v>
      </c>
      <c r="D182" s="4">
        <v>27483</v>
      </c>
      <c r="E182" s="5"/>
      <c r="F182" s="9">
        <v>74</v>
      </c>
      <c r="G182" s="6">
        <v>0.6</v>
      </c>
      <c r="H182" s="6">
        <v>-0.5</v>
      </c>
      <c r="I182" s="9">
        <v>415657</v>
      </c>
    </row>
    <row r="183" spans="1:9" x14ac:dyDescent="0.3">
      <c r="A183" s="7" t="s">
        <v>182</v>
      </c>
      <c r="B183" s="3">
        <v>0</v>
      </c>
      <c r="C183" s="3">
        <v>0</v>
      </c>
      <c r="D183" s="4">
        <v>14353.5</v>
      </c>
      <c r="E183" s="5"/>
      <c r="F183" s="9">
        <v>58</v>
      </c>
      <c r="G183" s="6">
        <v>0.1</v>
      </c>
      <c r="H183" s="6">
        <v>0.2</v>
      </c>
      <c r="I183" s="9">
        <v>378778</v>
      </c>
    </row>
    <row r="184" spans="1:9" x14ac:dyDescent="0.3">
      <c r="A184" s="7" t="s">
        <v>183</v>
      </c>
      <c r="B184" s="3">
        <v>0</v>
      </c>
      <c r="C184" s="3">
        <v>0</v>
      </c>
      <c r="D184" s="4">
        <v>2164.8000000000002</v>
      </c>
      <c r="E184" s="5"/>
      <c r="F184" s="9">
        <v>56</v>
      </c>
      <c r="G184" s="6">
        <v>0.4</v>
      </c>
      <c r="H184" s="6">
        <v>0.3</v>
      </c>
      <c r="I184" s="9">
        <v>661703</v>
      </c>
    </row>
    <row r="185" spans="1:9" x14ac:dyDescent="0.3">
      <c r="A185" s="7" t="s">
        <v>184</v>
      </c>
      <c r="B185" s="3">
        <v>44478</v>
      </c>
      <c r="C185" s="3">
        <v>2174</v>
      </c>
      <c r="D185" s="4">
        <v>289498.68</v>
      </c>
      <c r="E185" s="5">
        <f t="shared" ref="E185:E217" si="6">D185/B185</f>
        <v>6.508806151355726</v>
      </c>
      <c r="F185" s="9">
        <v>55</v>
      </c>
      <c r="G185" s="6">
        <v>0.3</v>
      </c>
      <c r="H185" s="6">
        <v>-0.1</v>
      </c>
      <c r="I185" s="9">
        <v>421462</v>
      </c>
    </row>
    <row r="186" spans="1:9" x14ac:dyDescent="0.3">
      <c r="A186" s="7" t="s">
        <v>185</v>
      </c>
      <c r="B186" s="3">
        <v>801145</v>
      </c>
      <c r="C186" s="3">
        <v>61019</v>
      </c>
      <c r="D186" s="4">
        <v>5164938.1400000006</v>
      </c>
      <c r="E186" s="5">
        <f t="shared" si="6"/>
        <v>6.4469454842756315</v>
      </c>
      <c r="F186" s="9">
        <v>44</v>
      </c>
      <c r="G186" s="6">
        <v>0</v>
      </c>
      <c r="H186" s="6">
        <v>-1.7</v>
      </c>
      <c r="I186" s="9">
        <v>175173</v>
      </c>
    </row>
    <row r="187" spans="1:9" x14ac:dyDescent="0.3">
      <c r="A187" s="7" t="s">
        <v>186</v>
      </c>
      <c r="B187" s="3">
        <v>1422548</v>
      </c>
      <c r="C187" s="3">
        <v>124073</v>
      </c>
      <c r="D187" s="4">
        <v>9102229.3499999996</v>
      </c>
      <c r="E187" s="5">
        <f t="shared" si="6"/>
        <v>6.3985393462997378</v>
      </c>
      <c r="F187" s="9">
        <v>43</v>
      </c>
      <c r="G187" s="6">
        <v>0.1</v>
      </c>
      <c r="H187" s="6">
        <v>0.1</v>
      </c>
      <c r="I187" s="9">
        <v>40054</v>
      </c>
    </row>
    <row r="188" spans="1:9" x14ac:dyDescent="0.3">
      <c r="A188" s="7" t="s">
        <v>187</v>
      </c>
      <c r="B188" s="3">
        <v>2319967</v>
      </c>
      <c r="C188" s="3">
        <v>137767</v>
      </c>
      <c r="D188" s="4">
        <v>15407893.210000005</v>
      </c>
      <c r="E188" s="5">
        <f t="shared" si="6"/>
        <v>6.6414277487567732</v>
      </c>
      <c r="F188" s="9">
        <v>42</v>
      </c>
      <c r="G188" s="6">
        <v>0.4</v>
      </c>
      <c r="H188" s="6">
        <v>0.4</v>
      </c>
      <c r="I188" s="9">
        <v>98414</v>
      </c>
    </row>
    <row r="189" spans="1:9" x14ac:dyDescent="0.3">
      <c r="A189" s="7" t="s">
        <v>188</v>
      </c>
      <c r="B189" s="3">
        <v>2688238</v>
      </c>
      <c r="C189" s="3">
        <v>156915</v>
      </c>
      <c r="D189" s="4">
        <v>18074571.25</v>
      </c>
      <c r="E189" s="5">
        <f t="shared" si="6"/>
        <v>6.7235755353506645</v>
      </c>
      <c r="F189" s="9">
        <v>47</v>
      </c>
      <c r="G189" s="6">
        <v>0.4</v>
      </c>
      <c r="H189" s="6">
        <v>0.4</v>
      </c>
      <c r="I189" s="9">
        <v>193997</v>
      </c>
    </row>
    <row r="190" spans="1:9" x14ac:dyDescent="0.3">
      <c r="A190" s="7" t="s">
        <v>189</v>
      </c>
      <c r="B190" s="3">
        <v>3306905</v>
      </c>
      <c r="C190" s="3">
        <v>187832</v>
      </c>
      <c r="D190" s="4">
        <v>22875671.269999988</v>
      </c>
      <c r="E190" s="5">
        <f t="shared" si="6"/>
        <v>6.9175471536073729</v>
      </c>
      <c r="F190" s="9">
        <v>50</v>
      </c>
      <c r="G190" s="6">
        <v>-0.1</v>
      </c>
      <c r="H190" s="6">
        <v>-0.7</v>
      </c>
      <c r="I190" s="9">
        <v>125997</v>
      </c>
    </row>
    <row r="191" spans="1:9" x14ac:dyDescent="0.3">
      <c r="A191" s="7" t="s">
        <v>190</v>
      </c>
      <c r="B191" s="3">
        <v>5053742</v>
      </c>
      <c r="C191" s="3">
        <v>217862</v>
      </c>
      <c r="D191" s="4">
        <v>35585479.210000001</v>
      </c>
      <c r="E191" s="5">
        <f t="shared" si="6"/>
        <v>7.0414119300114653</v>
      </c>
      <c r="F191" s="9">
        <v>50</v>
      </c>
      <c r="G191" s="6">
        <v>0.6</v>
      </c>
      <c r="H191" s="6">
        <v>-0.3</v>
      </c>
      <c r="I191" s="9">
        <v>101007</v>
      </c>
    </row>
    <row r="192" spans="1:9" x14ac:dyDescent="0.3">
      <c r="A192" s="7" t="s">
        <v>191</v>
      </c>
      <c r="B192" s="3">
        <v>5057388</v>
      </c>
      <c r="C192" s="3">
        <v>225776</v>
      </c>
      <c r="D192" s="4">
        <v>34525123.079999991</v>
      </c>
      <c r="E192" s="5">
        <f t="shared" si="6"/>
        <v>6.826670819007755</v>
      </c>
      <c r="F192" s="9">
        <v>53</v>
      </c>
      <c r="G192" s="6">
        <v>0.6</v>
      </c>
      <c r="H192" s="6">
        <v>-0.1</v>
      </c>
      <c r="I192" s="9">
        <v>282159</v>
      </c>
    </row>
    <row r="193" spans="1:9" x14ac:dyDescent="0.3">
      <c r="A193" s="7" t="s">
        <v>192</v>
      </c>
      <c r="B193" s="3">
        <v>6111622</v>
      </c>
      <c r="C193" s="3">
        <v>237348</v>
      </c>
      <c r="D193" s="4">
        <v>44847154.659999996</v>
      </c>
      <c r="E193" s="5">
        <f t="shared" si="6"/>
        <v>7.3380118502093223</v>
      </c>
      <c r="F193" s="9">
        <v>66</v>
      </c>
      <c r="G193" s="6">
        <v>0.5</v>
      </c>
      <c r="H193" s="6">
        <v>1.8</v>
      </c>
      <c r="I193" s="9">
        <v>1390622</v>
      </c>
    </row>
    <row r="194" spans="1:9" x14ac:dyDescent="0.3">
      <c r="A194" s="7" t="s">
        <v>193</v>
      </c>
      <c r="B194" s="3">
        <v>4536594</v>
      </c>
      <c r="C194" s="3">
        <v>250091</v>
      </c>
      <c r="D194" s="4">
        <v>32381225.899999999</v>
      </c>
      <c r="E194" s="5">
        <f t="shared" si="6"/>
        <v>7.1377835221754466</v>
      </c>
      <c r="F194" s="9">
        <v>76</v>
      </c>
      <c r="G194" s="6">
        <v>1.3</v>
      </c>
      <c r="H194" s="6">
        <v>0.5</v>
      </c>
      <c r="I194" s="9">
        <v>4815582</v>
      </c>
    </row>
    <row r="195" spans="1:9" x14ac:dyDescent="0.3">
      <c r="A195" s="7" t="s">
        <v>194</v>
      </c>
      <c r="B195" s="3">
        <v>2978630</v>
      </c>
      <c r="C195" s="3">
        <v>170035</v>
      </c>
      <c r="D195" s="4">
        <v>20299393.849999998</v>
      </c>
      <c r="E195" s="5">
        <f t="shared" si="6"/>
        <v>6.8150102060343167</v>
      </c>
      <c r="F195" s="9">
        <v>54</v>
      </c>
      <c r="G195" s="6">
        <v>1</v>
      </c>
      <c r="H195" s="6">
        <v>0.2</v>
      </c>
      <c r="I195" s="9">
        <v>1675616</v>
      </c>
    </row>
    <row r="196" spans="1:9" x14ac:dyDescent="0.3">
      <c r="A196" s="7" t="s">
        <v>195</v>
      </c>
      <c r="B196" s="3">
        <v>3658086</v>
      </c>
      <c r="C196" s="3">
        <v>199764</v>
      </c>
      <c r="D196" s="4">
        <v>24659053.099999998</v>
      </c>
      <c r="E196" s="5">
        <f t="shared" si="6"/>
        <v>6.7409713987041302</v>
      </c>
      <c r="F196" s="9">
        <v>54</v>
      </c>
      <c r="G196" s="6">
        <v>0.9</v>
      </c>
      <c r="H196" s="6">
        <v>-0.6</v>
      </c>
      <c r="I196" s="9">
        <v>1937431</v>
      </c>
    </row>
    <row r="197" spans="1:9" x14ac:dyDescent="0.3">
      <c r="A197" s="7" t="s">
        <v>196</v>
      </c>
      <c r="B197" s="3">
        <v>4048463</v>
      </c>
      <c r="C197" s="3">
        <v>212027</v>
      </c>
      <c r="D197" s="4">
        <v>27809817.410000008</v>
      </c>
      <c r="E197" s="5">
        <f t="shared" si="6"/>
        <v>6.8692284973334345</v>
      </c>
      <c r="F197" s="9">
        <v>56</v>
      </c>
      <c r="G197" s="6">
        <v>-0.1</v>
      </c>
      <c r="H197" s="6">
        <v>-1.4</v>
      </c>
      <c r="I197" s="9">
        <v>1803015</v>
      </c>
    </row>
    <row r="198" spans="1:9" x14ac:dyDescent="0.3">
      <c r="A198" s="7" t="s">
        <v>197</v>
      </c>
      <c r="B198" s="3">
        <v>3792309</v>
      </c>
      <c r="C198" s="3">
        <v>187349</v>
      </c>
      <c r="D198" s="4">
        <v>27234239.390000012</v>
      </c>
      <c r="E198" s="5">
        <f t="shared" si="6"/>
        <v>7.1814399591383538</v>
      </c>
      <c r="F198" s="9">
        <v>46</v>
      </c>
      <c r="G198" s="6">
        <v>0.7</v>
      </c>
      <c r="H198" s="6">
        <v>0</v>
      </c>
      <c r="I198" s="9">
        <v>943606</v>
      </c>
    </row>
    <row r="199" spans="1:9" x14ac:dyDescent="0.3">
      <c r="A199" s="7" t="s">
        <v>198</v>
      </c>
      <c r="B199" s="3">
        <v>3065783</v>
      </c>
      <c r="C199" s="3">
        <v>159464</v>
      </c>
      <c r="D199" s="4">
        <v>21926129.690000009</v>
      </c>
      <c r="E199" s="5">
        <f t="shared" si="6"/>
        <v>7.1518857303338201</v>
      </c>
      <c r="F199" s="9">
        <v>48</v>
      </c>
      <c r="G199" s="6">
        <v>1.2</v>
      </c>
      <c r="H199" s="6">
        <v>0.1</v>
      </c>
      <c r="I199" s="9">
        <v>1196356</v>
      </c>
    </row>
    <row r="200" spans="1:9" x14ac:dyDescent="0.3">
      <c r="A200" s="7" t="s">
        <v>199</v>
      </c>
      <c r="B200" s="3">
        <v>2687118</v>
      </c>
      <c r="C200" s="3">
        <v>125896</v>
      </c>
      <c r="D200" s="4">
        <v>18478583.930000003</v>
      </c>
      <c r="E200" s="5">
        <f t="shared" si="6"/>
        <v>6.8767296151490198</v>
      </c>
      <c r="F200" s="9">
        <v>47</v>
      </c>
      <c r="G200" s="6">
        <v>0.4</v>
      </c>
      <c r="H200" s="6">
        <v>0.8</v>
      </c>
      <c r="I200" s="9">
        <v>2439031</v>
      </c>
    </row>
    <row r="201" spans="1:9" x14ac:dyDescent="0.3">
      <c r="A201" s="7" t="s">
        <v>200</v>
      </c>
      <c r="B201" s="3">
        <v>3036152</v>
      </c>
      <c r="C201" s="3">
        <v>126277</v>
      </c>
      <c r="D201" s="4">
        <v>20729046.200000003</v>
      </c>
      <c r="E201" s="5">
        <f t="shared" si="6"/>
        <v>6.827407257607657</v>
      </c>
      <c r="F201" s="9">
        <v>50</v>
      </c>
      <c r="G201" s="6">
        <v>0.8</v>
      </c>
      <c r="H201" s="6">
        <v>1.3</v>
      </c>
      <c r="I201" s="9">
        <v>832640</v>
      </c>
    </row>
    <row r="202" spans="1:9" x14ac:dyDescent="0.3">
      <c r="A202" s="7" t="s">
        <v>201</v>
      </c>
      <c r="B202" s="3">
        <v>3667427</v>
      </c>
      <c r="C202" s="3">
        <v>178988</v>
      </c>
      <c r="D202" s="4">
        <v>22258833.90000001</v>
      </c>
      <c r="E202" s="5">
        <f t="shared" si="6"/>
        <v>6.0693325047778757</v>
      </c>
      <c r="F202" s="9">
        <v>52</v>
      </c>
      <c r="G202" s="6">
        <v>0.3</v>
      </c>
      <c r="H202" s="6">
        <v>-1</v>
      </c>
      <c r="I202" s="9">
        <v>621169</v>
      </c>
    </row>
    <row r="203" spans="1:9" x14ac:dyDescent="0.3">
      <c r="A203" s="7" t="s">
        <v>202</v>
      </c>
      <c r="B203" s="3">
        <v>4364739</v>
      </c>
      <c r="C203" s="3">
        <v>211458</v>
      </c>
      <c r="D203" s="4">
        <v>30259469.300000016</v>
      </c>
      <c r="E203" s="5">
        <f t="shared" si="6"/>
        <v>6.9327099054491041</v>
      </c>
      <c r="F203" s="9">
        <v>55</v>
      </c>
      <c r="G203" s="6">
        <v>3.2</v>
      </c>
      <c r="H203" s="6">
        <v>0.1</v>
      </c>
      <c r="I203" s="9">
        <v>1096806</v>
      </c>
    </row>
    <row r="204" spans="1:9" x14ac:dyDescent="0.3">
      <c r="A204" s="7" t="s">
        <v>203</v>
      </c>
      <c r="B204" s="3">
        <v>4946407</v>
      </c>
      <c r="C204" s="3">
        <v>208221</v>
      </c>
      <c r="D204" s="4">
        <v>33332163.960000012</v>
      </c>
      <c r="E204" s="5">
        <f t="shared" si="6"/>
        <v>6.7386618125035023</v>
      </c>
      <c r="F204" s="9">
        <v>54</v>
      </c>
      <c r="G204" s="6">
        <v>0.5</v>
      </c>
      <c r="H204" s="6">
        <v>0.2</v>
      </c>
      <c r="I204" s="9">
        <v>895723</v>
      </c>
    </row>
    <row r="205" spans="1:9" x14ac:dyDescent="0.3">
      <c r="A205" s="7" t="s">
        <v>204</v>
      </c>
      <c r="B205" s="3">
        <v>6869912</v>
      </c>
      <c r="C205" s="3">
        <v>225459</v>
      </c>
      <c r="D205" s="4">
        <v>53667485.470000006</v>
      </c>
      <c r="E205" s="5">
        <f t="shared" si="6"/>
        <v>7.8119611241017362</v>
      </c>
      <c r="F205" s="9">
        <v>61</v>
      </c>
      <c r="G205" s="6">
        <v>0.3</v>
      </c>
      <c r="H205" s="6">
        <v>3.2</v>
      </c>
      <c r="I205" s="9">
        <v>715039</v>
      </c>
    </row>
    <row r="206" spans="1:9" x14ac:dyDescent="0.3">
      <c r="A206" s="7" t="s">
        <v>205</v>
      </c>
      <c r="B206" s="3">
        <v>7053166</v>
      </c>
      <c r="C206" s="3">
        <v>236498</v>
      </c>
      <c r="D206" s="4">
        <v>52195437.850000009</v>
      </c>
      <c r="E206" s="5">
        <f t="shared" si="6"/>
        <v>7.4002849004262776</v>
      </c>
      <c r="F206" s="9">
        <v>60</v>
      </c>
      <c r="G206" s="6">
        <v>0.1</v>
      </c>
      <c r="H206" s="6">
        <v>0.5</v>
      </c>
      <c r="I206" s="9">
        <v>267378</v>
      </c>
    </row>
    <row r="207" spans="1:9" x14ac:dyDescent="0.3">
      <c r="A207" s="7" t="s">
        <v>206</v>
      </c>
      <c r="B207" s="3">
        <v>4321125</v>
      </c>
      <c r="C207" s="3">
        <v>197340</v>
      </c>
      <c r="D207" s="4">
        <v>30217411.729999978</v>
      </c>
      <c r="E207" s="5">
        <f t="shared" si="6"/>
        <v>6.992950153027274</v>
      </c>
      <c r="F207" s="9">
        <v>48</v>
      </c>
      <c r="G207" s="6">
        <v>0.2</v>
      </c>
      <c r="H207" s="6">
        <v>0.3</v>
      </c>
      <c r="I207" s="9">
        <v>115700</v>
      </c>
    </row>
    <row r="208" spans="1:9" x14ac:dyDescent="0.3">
      <c r="A208" s="7" t="s">
        <v>207</v>
      </c>
      <c r="B208" s="3">
        <v>4829210</v>
      </c>
      <c r="C208" s="3">
        <v>215800</v>
      </c>
      <c r="D208" s="4">
        <v>32786583.639999967</v>
      </c>
      <c r="E208" s="5">
        <f t="shared" si="6"/>
        <v>6.7892230074898308</v>
      </c>
      <c r="F208" s="9">
        <v>47</v>
      </c>
      <c r="G208" s="6">
        <v>-0.3</v>
      </c>
      <c r="H208" s="6">
        <v>0.1</v>
      </c>
      <c r="I208" s="9">
        <v>100135</v>
      </c>
    </row>
    <row r="209" spans="1:9" x14ac:dyDescent="0.3">
      <c r="A209" s="7" t="s">
        <v>208</v>
      </c>
      <c r="B209" s="3">
        <v>6452110</v>
      </c>
      <c r="C209" s="3">
        <v>236297</v>
      </c>
      <c r="D209" s="4">
        <v>45898870.559999995</v>
      </c>
      <c r="E209" s="5">
        <f t="shared" si="6"/>
        <v>7.1137768202959952</v>
      </c>
      <c r="F209" s="9">
        <v>47</v>
      </c>
      <c r="G209" s="6">
        <v>0.3</v>
      </c>
      <c r="H209" s="6">
        <v>-0.2</v>
      </c>
      <c r="I209" s="9">
        <v>97092</v>
      </c>
    </row>
    <row r="210" spans="1:9" x14ac:dyDescent="0.3">
      <c r="A210" s="7" t="s">
        <v>209</v>
      </c>
      <c r="B210" s="3">
        <v>5618201</v>
      </c>
      <c r="C210" s="3">
        <v>211385</v>
      </c>
      <c r="D210" s="4">
        <v>41777493.220000006</v>
      </c>
      <c r="E210" s="5">
        <f t="shared" si="6"/>
        <v>7.4360980000537547</v>
      </c>
      <c r="F210" s="9">
        <v>43</v>
      </c>
      <c r="G210" s="6">
        <v>0.2</v>
      </c>
      <c r="H210" s="6">
        <v>-0.4</v>
      </c>
      <c r="I210" s="9">
        <v>70547</v>
      </c>
    </row>
    <row r="211" spans="1:9" x14ac:dyDescent="0.3">
      <c r="A211" s="7" t="s">
        <v>210</v>
      </c>
      <c r="B211" s="3">
        <v>4767323</v>
      </c>
      <c r="C211" s="3">
        <v>194956</v>
      </c>
      <c r="D211" s="4">
        <v>29941649.660000011</v>
      </c>
      <c r="E211" s="5">
        <f t="shared" si="6"/>
        <v>6.2806001733048111</v>
      </c>
      <c r="F211" s="9">
        <v>50</v>
      </c>
      <c r="G211" s="6">
        <v>0</v>
      </c>
      <c r="H211" s="6">
        <v>0.1</v>
      </c>
      <c r="I211" s="9">
        <v>27064</v>
      </c>
    </row>
    <row r="212" spans="1:9" x14ac:dyDescent="0.3">
      <c r="A212" s="7" t="s">
        <v>211</v>
      </c>
      <c r="B212" s="3">
        <v>5841331</v>
      </c>
      <c r="C212" s="3">
        <v>177383</v>
      </c>
      <c r="D212" s="4">
        <v>46150298.179999985</v>
      </c>
      <c r="E212" s="5">
        <f t="shared" si="6"/>
        <v>7.9006476743057332</v>
      </c>
      <c r="F212" s="9">
        <v>41</v>
      </c>
      <c r="G212" s="6">
        <v>0.1</v>
      </c>
      <c r="H212" s="6">
        <v>0.1</v>
      </c>
      <c r="I212" s="9">
        <v>17556</v>
      </c>
    </row>
    <row r="213" spans="1:9" x14ac:dyDescent="0.3">
      <c r="A213" s="7" t="s">
        <v>212</v>
      </c>
      <c r="B213" s="3">
        <v>6140132</v>
      </c>
      <c r="C213" s="3">
        <v>160019</v>
      </c>
      <c r="D213" s="4">
        <v>45484958.290000014</v>
      </c>
      <c r="E213" s="5">
        <f t="shared" si="6"/>
        <v>7.4078144069215472</v>
      </c>
      <c r="F213" s="9">
        <v>44</v>
      </c>
      <c r="G213" s="6">
        <v>0.3</v>
      </c>
      <c r="H213" s="6">
        <v>0.5</v>
      </c>
      <c r="I213" s="9">
        <v>47033</v>
      </c>
    </row>
    <row r="214" spans="1:9" x14ac:dyDescent="0.3">
      <c r="A214" s="7" t="s">
        <v>213</v>
      </c>
      <c r="B214" s="3">
        <v>6755633</v>
      </c>
      <c r="C214" s="3">
        <v>216340</v>
      </c>
      <c r="D214" s="4">
        <v>45523430.899999984</v>
      </c>
      <c r="E214" s="5">
        <f t="shared" si="6"/>
        <v>6.7385885082863419</v>
      </c>
      <c r="F214" s="9">
        <v>49</v>
      </c>
      <c r="G214" s="6">
        <v>0.2</v>
      </c>
      <c r="H214" s="6">
        <v>-0.4</v>
      </c>
      <c r="I214" s="9">
        <v>146770</v>
      </c>
    </row>
    <row r="215" spans="1:9" x14ac:dyDescent="0.3">
      <c r="A215" s="7" t="s">
        <v>214</v>
      </c>
      <c r="B215" s="3">
        <v>5383702</v>
      </c>
      <c r="C215" s="3">
        <v>229286</v>
      </c>
      <c r="D215" s="4">
        <v>39096129.250000007</v>
      </c>
      <c r="E215" s="5">
        <f t="shared" si="6"/>
        <v>7.2619415506281753</v>
      </c>
      <c r="F215" s="9">
        <v>45</v>
      </c>
      <c r="G215" s="6">
        <v>-0.1</v>
      </c>
      <c r="H215" s="6">
        <v>-0.4</v>
      </c>
      <c r="I215" s="9">
        <v>150594</v>
      </c>
    </row>
    <row r="216" spans="1:9" x14ac:dyDescent="0.3">
      <c r="A216" s="7" t="s">
        <v>215</v>
      </c>
      <c r="B216" s="3">
        <v>8634593</v>
      </c>
      <c r="C216" s="3">
        <v>233199</v>
      </c>
      <c r="D216" s="4">
        <v>60830725.230000012</v>
      </c>
      <c r="E216" s="5">
        <f t="shared" si="6"/>
        <v>7.0450020319429081</v>
      </c>
      <c r="F216" s="9">
        <v>47</v>
      </c>
      <c r="G216" s="6">
        <v>-0.4</v>
      </c>
      <c r="H216" s="6">
        <v>-0.8</v>
      </c>
      <c r="I216" s="9">
        <v>175736</v>
      </c>
    </row>
    <row r="217" spans="1:9" x14ac:dyDescent="0.3">
      <c r="A217" s="8" t="s">
        <v>216</v>
      </c>
      <c r="B217" s="3">
        <v>8266924</v>
      </c>
      <c r="C217" s="3">
        <v>270609</v>
      </c>
      <c r="D217" s="4">
        <v>60628061.660000034</v>
      </c>
      <c r="E217" s="5">
        <f t="shared" si="6"/>
        <v>7.3338114224831426</v>
      </c>
      <c r="F217" s="9">
        <v>52</v>
      </c>
      <c r="G217" s="6">
        <v>0.2</v>
      </c>
      <c r="H217" s="6">
        <v>1.7</v>
      </c>
      <c r="I217" s="9">
        <v>226801</v>
      </c>
    </row>
  </sheetData>
  <autoFilter ref="A1:E217" xr:uid="{00000000-0001-0000-00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Zeynep Tutar</dc:creator>
  <cp:lastModifiedBy>Zeynep Tutar</cp:lastModifiedBy>
  <dcterms:created xsi:type="dcterms:W3CDTF">2025-01-17T14:55:45Z</dcterms:created>
  <dcterms:modified xsi:type="dcterms:W3CDTF">2025-02-07T15:28:30Z</dcterms:modified>
</cp:coreProperties>
</file>